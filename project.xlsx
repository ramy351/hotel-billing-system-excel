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ef4d2aed8047ec65/سطح المكتب/projects/lap/"/>
    </mc:Choice>
  </mc:AlternateContent>
  <xr:revisionPtr revIDLastSave="1" documentId="13_ncr:1_{0049CC47-65FB-47BD-8737-8DF8686DD770}" xr6:coauthVersionLast="47" xr6:coauthVersionMax="47" xr10:uidLastSave="{AB4F5583-BC7A-4C30-BABD-2AA9C13BCFF1}"/>
  <bookViews>
    <workbookView xWindow="-108" yWindow="-108" windowWidth="23256" windowHeight="13176" xr2:uid="{860C9C83-4087-453D-A5A7-1BA077139ADD}"/>
  </bookViews>
  <sheets>
    <sheet name="Sheet2" sheetId="2" r:id="rId1"/>
    <sheet name="Sheet5" sheetId="6" r:id="rId2"/>
    <sheet name="Sheet6" sheetId="7" r:id="rId3"/>
    <sheet name="Sheet7" sheetId="8" r:id="rId4"/>
    <sheet name="Sheet1" sheetId="3" r:id="rId5"/>
    <sheet name="Sheet3" sheetId="4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2" l="1"/>
  <c r="N6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J10" i="8"/>
  <c r="I29" i="8"/>
  <c r="I28" i="8"/>
  <c r="I27" i="8"/>
  <c r="I26" i="8"/>
  <c r="I25" i="8"/>
  <c r="I24" i="8"/>
  <c r="I22" i="8"/>
  <c r="I21" i="8"/>
  <c r="I20" i="8"/>
  <c r="I19" i="8"/>
  <c r="I18" i="8"/>
  <c r="I17" i="8"/>
  <c r="I16" i="8"/>
  <c r="I15" i="8"/>
  <c r="I13" i="8"/>
  <c r="I14" i="8"/>
  <c r="I12" i="8"/>
  <c r="I11" i="8"/>
  <c r="K5" i="2"/>
  <c r="I10" i="8" s="1"/>
  <c r="K18" i="2"/>
  <c r="I23" i="8" s="1"/>
  <c r="N5" i="2"/>
  <c r="O13" i="2"/>
  <c r="K10" i="8"/>
  <c r="J11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9" i="6"/>
  <c r="I10" i="6"/>
  <c r="I11" i="6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R6" i="2"/>
  <c r="S6" i="2"/>
  <c r="S7" i="2"/>
  <c r="S9" i="2"/>
  <c r="R10" i="2"/>
  <c r="S10" i="2"/>
  <c r="R12" i="2"/>
  <c r="S12" i="2"/>
  <c r="R14" i="2"/>
  <c r="S14" i="2"/>
  <c r="S15" i="2"/>
  <c r="S16" i="2"/>
  <c r="R18" i="2"/>
  <c r="S18" i="2"/>
  <c r="S19" i="2"/>
  <c r="S20" i="2"/>
  <c r="S21" i="2"/>
  <c r="S22" i="2"/>
  <c r="S23" i="2"/>
  <c r="S24" i="2"/>
  <c r="R5" i="2"/>
  <c r="S5" i="2" s="1"/>
  <c r="S8" i="2"/>
  <c r="S11" i="2"/>
  <c r="S17" i="2"/>
  <c r="R7" i="2"/>
  <c r="R8" i="2"/>
  <c r="R9" i="2"/>
  <c r="R11" i="2"/>
  <c r="R13" i="2"/>
  <c r="R15" i="2"/>
  <c r="R16" i="2"/>
  <c r="R17" i="2"/>
  <c r="R19" i="2"/>
  <c r="R20" i="2"/>
  <c r="R21" i="2"/>
  <c r="R22" i="2"/>
  <c r="R23" i="2"/>
  <c r="R24" i="2"/>
  <c r="P6" i="2"/>
  <c r="P7" i="2"/>
  <c r="P8" i="2"/>
  <c r="P9" i="2"/>
  <c r="P10" i="2"/>
  <c r="P11" i="2"/>
  <c r="P12" i="2"/>
  <c r="P13" i="2"/>
  <c r="S13" i="2"/>
  <c r="P14" i="2"/>
  <c r="P15" i="2"/>
  <c r="P16" i="2"/>
  <c r="P17" i="2"/>
  <c r="P18" i="2"/>
  <c r="P19" i="2"/>
  <c r="P20" i="2"/>
  <c r="P21" i="2"/>
  <c r="P22" i="2"/>
  <c r="P23" i="2"/>
  <c r="P24" i="2"/>
  <c r="P5" i="2"/>
  <c r="O6" i="2"/>
  <c r="O7" i="2"/>
  <c r="O8" i="2"/>
  <c r="O9" i="2"/>
  <c r="O10" i="2"/>
  <c r="O11" i="2"/>
  <c r="O12" i="2"/>
  <c r="O14" i="2"/>
  <c r="O15" i="2"/>
  <c r="O16" i="2"/>
  <c r="O17" i="2"/>
  <c r="O18" i="2"/>
  <c r="O19" i="2"/>
  <c r="O20" i="2"/>
  <c r="O21" i="2"/>
  <c r="O22" i="2"/>
  <c r="O23" i="2"/>
  <c r="O24" i="2"/>
  <c r="O5" i="2"/>
  <c r="K6" i="2"/>
  <c r="K7" i="2"/>
  <c r="K8" i="2"/>
  <c r="K9" i="2"/>
  <c r="K10" i="2"/>
  <c r="K11" i="2"/>
  <c r="K12" i="2"/>
  <c r="K13" i="2"/>
  <c r="K14" i="2"/>
  <c r="K15" i="2"/>
  <c r="K16" i="2"/>
  <c r="K17" i="2"/>
  <c r="K19" i="2"/>
  <c r="K20" i="2"/>
  <c r="K21" i="2"/>
  <c r="K22" i="2"/>
  <c r="K23" i="2"/>
  <c r="K2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5" i="2"/>
  <c r="J16" i="8"/>
  <c r="J17" i="8"/>
  <c r="J23" i="8"/>
  <c r="J15" i="8"/>
  <c r="J24" i="8"/>
  <c r="J22" i="8"/>
  <c r="J28" i="8"/>
  <c r="J19" i="8"/>
  <c r="J27" i="8"/>
  <c r="J25" i="8"/>
  <c r="J13" i="8"/>
  <c r="J18" i="8"/>
  <c r="J20" i="8"/>
  <c r="J12" i="8"/>
  <c r="J21" i="8"/>
  <c r="J14" i="8"/>
  <c r="J26" i="8"/>
  <c r="J29" i="8"/>
</calcChain>
</file>

<file path=xl/sharedStrings.xml><?xml version="1.0" encoding="utf-8"?>
<sst xmlns="http://schemas.openxmlformats.org/spreadsheetml/2006/main" count="234" uniqueCount="54">
  <si>
    <t>ramy hotel</t>
  </si>
  <si>
    <t>SI.no</t>
  </si>
  <si>
    <t>name as per id card</t>
  </si>
  <si>
    <t>Single /couple/Family</t>
  </si>
  <si>
    <t xml:space="preserve">Photo ID </t>
  </si>
  <si>
    <t xml:space="preserve">Check in date </t>
  </si>
  <si>
    <t>Check out date</t>
  </si>
  <si>
    <t>total stay</t>
  </si>
  <si>
    <t>advance</t>
  </si>
  <si>
    <t xml:space="preserve">room type </t>
  </si>
  <si>
    <t>room charg</t>
  </si>
  <si>
    <t xml:space="preserve"> food charg</t>
  </si>
  <si>
    <t xml:space="preserve">bar charges </t>
  </si>
  <si>
    <t>discount</t>
  </si>
  <si>
    <t>discount Amt.</t>
  </si>
  <si>
    <t>total payable</t>
  </si>
  <si>
    <t xml:space="preserve">room tax </t>
  </si>
  <si>
    <t>food tax</t>
  </si>
  <si>
    <t xml:space="preserve">bar tax </t>
  </si>
  <si>
    <t>%</t>
  </si>
  <si>
    <t xml:space="preserve"> Mateo Ochoa</t>
  </si>
  <si>
    <t>Family</t>
  </si>
  <si>
    <t>No</t>
  </si>
  <si>
    <t>Deluxe</t>
  </si>
  <si>
    <t>rooms</t>
  </si>
  <si>
    <t>rent</t>
  </si>
  <si>
    <t xml:space="preserve"> Anaya Ray</t>
  </si>
  <si>
    <t>Single</t>
  </si>
  <si>
    <t>Yes</t>
  </si>
  <si>
    <t>Double</t>
  </si>
  <si>
    <t xml:space="preserve"> Asia Steele</t>
  </si>
  <si>
    <t>Complimentary</t>
  </si>
  <si>
    <t xml:space="preserve"> Leia Blanchard</t>
  </si>
  <si>
    <t>Suit</t>
  </si>
  <si>
    <t xml:space="preserve"> Ashtyn Mercado</t>
  </si>
  <si>
    <t>couple</t>
  </si>
  <si>
    <t>Studio</t>
  </si>
  <si>
    <t xml:space="preserve"> Tyler Pierce</t>
  </si>
  <si>
    <t xml:space="preserve"> Sharon Dalton</t>
  </si>
  <si>
    <t>Villa</t>
  </si>
  <si>
    <t xml:space="preserve"> Jovany Macdonald</t>
  </si>
  <si>
    <t xml:space="preserve"> Evelyn Patel</t>
  </si>
  <si>
    <t>Nolan Foster</t>
  </si>
  <si>
    <t xml:space="preserve"> Lila Montgomery</t>
  </si>
  <si>
    <t>Oscar Vega</t>
  </si>
  <si>
    <t xml:space="preserve"> Zara Flynn</t>
  </si>
  <si>
    <t xml:space="preserve"> Malik Hayes</t>
  </si>
  <si>
    <t xml:space="preserve"> Giselle Warner</t>
  </si>
  <si>
    <t xml:space="preserve"> Dante Caldwell</t>
  </si>
  <si>
    <t xml:space="preserve"> Isla Harper</t>
  </si>
  <si>
    <t xml:space="preserve"> Ronan Bishop</t>
  </si>
  <si>
    <t xml:space="preserve"> Mira Cohen</t>
  </si>
  <si>
    <t xml:space="preserve"> Kai Larson</t>
  </si>
  <si>
    <t xml:space="preserve"> Aln Emad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</si>
</sst>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409]d\-mmm\-yy;@"/>
    <numFmt numFmtId="165" formatCode="_(&quot;$&quot;* #,##0_);_(&quot;$&quot;* \(#,##0\);_(&quot;$&quot;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4" tint="-0.249977111117893"/>
      <name val="ADLaM Display"/>
    </font>
    <font>
      <sz val="11"/>
      <color theme="0"/>
      <name val="ADLaM Display"/>
    </font>
    <font>
      <sz val="24"/>
      <color theme="0"/>
      <name val="Algerian"/>
      <family val="5"/>
    </font>
    <font>
      <b/>
      <sz val="11"/>
      <color theme="1"/>
      <name val="ADLaM Display"/>
    </font>
    <font>
      <b/>
      <sz val="11"/>
      <color rgb="FFFF0000"/>
      <name val="ADLaM Display"/>
    </font>
    <font>
      <b/>
      <sz val="11"/>
      <color rgb="FFFFFF00"/>
      <name val="ADLaM Display"/>
    </font>
    <font>
      <sz val="11"/>
      <color rgb="FFFFFF00"/>
      <name val="ADLaM Display"/>
    </font>
    <font>
      <b/>
      <sz val="12"/>
      <color rgb="FF111111"/>
      <name val="Segoe UI"/>
      <family val="2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9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FF00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FF00"/>
      </font>
      <fill>
        <patternFill>
          <bgColor rgb="FF7030A0"/>
        </patternFill>
      </fill>
    </dxf>
    <dxf>
      <font>
        <color theme="9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7833-EA24-4AD5-BE2C-7C21B48B1962}">
  <dimension ref="B1:V24"/>
  <sheetViews>
    <sheetView showGridLines="0" tabSelected="1" zoomScale="60" zoomScaleNormal="60" workbookViewId="0">
      <selection activeCell="D13" sqref="D13"/>
    </sheetView>
  </sheetViews>
  <sheetFormatPr defaultColWidth="9.109375" defaultRowHeight="15.6" x14ac:dyDescent="0.3"/>
  <cols>
    <col min="1" max="1" width="9.109375" style="1"/>
    <col min="2" max="2" width="7.109375" style="1" bestFit="1" customWidth="1"/>
    <col min="3" max="3" width="23.88671875" style="1" bestFit="1" customWidth="1"/>
    <col min="4" max="4" width="26.6640625" style="1" bestFit="1" customWidth="1"/>
    <col min="5" max="5" width="12" style="1" bestFit="1" customWidth="1"/>
    <col min="6" max="6" width="17.5546875" style="1" bestFit="1" customWidth="1"/>
    <col min="7" max="7" width="18.5546875" style="1" bestFit="1" customWidth="1"/>
    <col min="8" max="8" width="12.33203125" style="1" bestFit="1" customWidth="1"/>
    <col min="9" max="9" width="10.6640625" style="1" bestFit="1" customWidth="1"/>
    <col min="10" max="10" width="13.88671875" style="1" bestFit="1" customWidth="1"/>
    <col min="11" max="12" width="14.44140625" style="1" bestFit="1" customWidth="1"/>
    <col min="13" max="13" width="15.33203125" style="1" bestFit="1" customWidth="1"/>
    <col min="14" max="14" width="12.33203125" style="1" bestFit="1" customWidth="1"/>
    <col min="15" max="15" width="10.88671875" style="1" bestFit="1" customWidth="1"/>
    <col min="16" max="16" width="11.33203125" style="1" bestFit="1" customWidth="1"/>
    <col min="17" max="17" width="19" style="1" bestFit="1" customWidth="1"/>
    <col min="18" max="18" width="17.33203125" style="1" bestFit="1" customWidth="1"/>
    <col min="19" max="19" width="16.5546875" style="1" bestFit="1" customWidth="1"/>
    <col min="20" max="20" width="9.109375" style="1"/>
    <col min="21" max="21" width="8.44140625" style="1" bestFit="1" customWidth="1"/>
    <col min="22" max="22" width="5.44140625" style="1" bestFit="1" customWidth="1"/>
    <col min="23" max="16384" width="9.109375" style="1"/>
  </cols>
  <sheetData>
    <row r="1" spans="2:22" x14ac:dyDescent="0.3">
      <c r="D1" s="2"/>
    </row>
    <row r="2" spans="2:22" ht="33.6" x14ac:dyDescent="0.3">
      <c r="B2" s="13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2:22" x14ac:dyDescent="0.3">
      <c r="B3" s="15" t="s">
        <v>1</v>
      </c>
      <c r="C3" s="15" t="s">
        <v>2</v>
      </c>
      <c r="D3" s="15" t="s">
        <v>3</v>
      </c>
      <c r="E3" s="15" t="s">
        <v>4</v>
      </c>
      <c r="F3" s="15" t="s">
        <v>5</v>
      </c>
      <c r="G3" s="15" t="s">
        <v>6</v>
      </c>
      <c r="H3" s="15" t="s">
        <v>7</v>
      </c>
      <c r="I3" s="15" t="s">
        <v>8</v>
      </c>
      <c r="J3" s="15" t="s">
        <v>9</v>
      </c>
      <c r="K3" s="15" t="s">
        <v>10</v>
      </c>
      <c r="L3" s="15" t="s">
        <v>11</v>
      </c>
      <c r="M3" s="15" t="s">
        <v>12</v>
      </c>
      <c r="N3" s="3">
        <v>0.15</v>
      </c>
      <c r="O3" s="3">
        <v>0.16</v>
      </c>
      <c r="P3" s="3">
        <v>0.2</v>
      </c>
      <c r="Q3" s="4" t="s">
        <v>13</v>
      </c>
      <c r="R3" s="15" t="s">
        <v>14</v>
      </c>
      <c r="S3" s="15" t="s">
        <v>15</v>
      </c>
    </row>
    <row r="4" spans="2:22" x14ac:dyDescent="0.3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5" t="s">
        <v>16</v>
      </c>
      <c r="O4" s="5" t="s">
        <v>17</v>
      </c>
      <c r="P4" s="5" t="s">
        <v>18</v>
      </c>
      <c r="Q4" s="5" t="s">
        <v>19</v>
      </c>
      <c r="R4" s="15"/>
      <c r="S4" s="15"/>
    </row>
    <row r="5" spans="2:22" ht="19.2" x14ac:dyDescent="0.3">
      <c r="B5" s="6">
        <v>1</v>
      </c>
      <c r="C5" s="8" t="s">
        <v>53</v>
      </c>
      <c r="D5" s="6" t="s">
        <v>21</v>
      </c>
      <c r="E5" s="6" t="s">
        <v>22</v>
      </c>
      <c r="F5" s="9">
        <v>45607</v>
      </c>
      <c r="G5" s="9">
        <v>45609</v>
      </c>
      <c r="H5" s="6">
        <f>G5-F5</f>
        <v>2</v>
      </c>
      <c r="I5" s="11">
        <v>10</v>
      </c>
      <c r="J5" s="6" t="s">
        <v>23</v>
      </c>
      <c r="K5" s="11">
        <f>IF(J5=0,"0",IF(J5="Single",$V$6,IF(J5="Double",$V$7,IF(J5="Suit",$V$8,IF(J5="Studio",$V$9,IF(J5="Deluxe",$V$10,IF(J5="Villa",$V$11)))))))</f>
        <v>200</v>
      </c>
      <c r="L5" s="11">
        <v>12</v>
      </c>
      <c r="M5" s="11">
        <v>34</v>
      </c>
      <c r="N5" s="11">
        <f t="shared" ref="N5:N24" si="0">IF(Q5=100%,"0",IF(Q5="Complimentary","0",H5*K5*$N$3))</f>
        <v>60</v>
      </c>
      <c r="O5" s="11">
        <f>L5*$O$3</f>
        <v>1.92</v>
      </c>
      <c r="P5" s="11">
        <f>M5*$P$3</f>
        <v>6.8000000000000007</v>
      </c>
      <c r="Q5" s="10">
        <v>0.2</v>
      </c>
      <c r="R5" s="6">
        <f>IF(Q5="No",0,IF(Q5="Complimentary",0,K5*H5*Q5))</f>
        <v>80</v>
      </c>
      <c r="S5" s="11">
        <f>IF(Q5="Complimentary","0",(K5*H5)+L5+M5+N5+O5+P5-I5-R5)</f>
        <v>424.72</v>
      </c>
      <c r="U5" s="7" t="s">
        <v>24</v>
      </c>
      <c r="V5" s="7" t="s">
        <v>25</v>
      </c>
    </row>
    <row r="6" spans="2:22" ht="19.2" x14ac:dyDescent="0.3">
      <c r="B6" s="6">
        <v>2</v>
      </c>
      <c r="C6" s="8" t="s">
        <v>26</v>
      </c>
      <c r="D6" s="6" t="s">
        <v>27</v>
      </c>
      <c r="E6" s="6" t="s">
        <v>28</v>
      </c>
      <c r="F6" s="9">
        <v>45608</v>
      </c>
      <c r="G6" s="9">
        <v>45610</v>
      </c>
      <c r="H6" s="6">
        <f t="shared" ref="H6:H24" si="1">G6-F6</f>
        <v>2</v>
      </c>
      <c r="I6" s="11">
        <v>20</v>
      </c>
      <c r="J6" s="6" t="s">
        <v>29</v>
      </c>
      <c r="K6" s="11">
        <f t="shared" ref="K6:K24" si="2">IF(J6=0,"0",IF(J6="Single",$V$6,IF(J6="Double",$V$7,IF(J6="Suit",$V$8,IF(J6="Studio",$V$9,IF(J6="Deluxe",$V$10,IF(J6="Villa",$V$11)))))))</f>
        <v>80</v>
      </c>
      <c r="L6" s="11">
        <v>34</v>
      </c>
      <c r="M6" s="11">
        <v>54</v>
      </c>
      <c r="N6" s="11" t="str">
        <f t="shared" si="0"/>
        <v>0</v>
      </c>
      <c r="O6" s="11">
        <f t="shared" ref="O6:O24" si="3">L6*$O$3</f>
        <v>5.44</v>
      </c>
      <c r="P6" s="11">
        <f t="shared" ref="P6:P24" si="4">M6*$P$3</f>
        <v>10.8</v>
      </c>
      <c r="Q6" s="10">
        <v>1</v>
      </c>
      <c r="R6" s="6">
        <f t="shared" ref="R6:R24" si="5">IF(Q6="No",0,IF(Q6="Complimentary",0,K6*H6*Q6))</f>
        <v>160</v>
      </c>
      <c r="S6" s="11">
        <f t="shared" ref="S6:S24" si="6">IF(Q6="Complimentary","0",(K6*H6)+L6+M6+N6+O6+P6-I6-R6)</f>
        <v>84.240000000000009</v>
      </c>
      <c r="U6" s="6" t="s">
        <v>27</v>
      </c>
      <c r="V6" s="6">
        <v>50</v>
      </c>
    </row>
    <row r="7" spans="2:22" ht="19.2" x14ac:dyDescent="0.3">
      <c r="B7" s="6">
        <v>3</v>
      </c>
      <c r="C7" s="8" t="s">
        <v>30</v>
      </c>
      <c r="D7" s="6" t="s">
        <v>21</v>
      </c>
      <c r="E7" s="6" t="s">
        <v>22</v>
      </c>
      <c r="F7" s="9">
        <v>45609</v>
      </c>
      <c r="G7" s="9">
        <v>45611</v>
      </c>
      <c r="H7" s="6">
        <f t="shared" si="1"/>
        <v>2</v>
      </c>
      <c r="I7" s="11">
        <v>20</v>
      </c>
      <c r="J7" s="6" t="s">
        <v>27</v>
      </c>
      <c r="K7" s="11">
        <f t="shared" si="2"/>
        <v>50</v>
      </c>
      <c r="L7" s="11">
        <v>33</v>
      </c>
      <c r="M7" s="11"/>
      <c r="N7" s="11" t="str">
        <f>IF(Q7=100%,"0",IF(Q7="Complimentary","0",H7*K7*$N$3))</f>
        <v>0</v>
      </c>
      <c r="O7" s="11">
        <f t="shared" si="3"/>
        <v>5.28</v>
      </c>
      <c r="P7" s="11">
        <f t="shared" si="4"/>
        <v>0</v>
      </c>
      <c r="Q7" s="10" t="s">
        <v>31</v>
      </c>
      <c r="R7" s="6">
        <f t="shared" si="5"/>
        <v>0</v>
      </c>
      <c r="S7" s="11" t="str">
        <f t="shared" si="6"/>
        <v>0</v>
      </c>
      <c r="U7" s="6" t="s">
        <v>29</v>
      </c>
      <c r="V7" s="6">
        <v>80</v>
      </c>
    </row>
    <row r="8" spans="2:22" ht="19.2" x14ac:dyDescent="0.3">
      <c r="B8" s="6">
        <v>4</v>
      </c>
      <c r="C8" s="8" t="s">
        <v>32</v>
      </c>
      <c r="D8" s="6" t="s">
        <v>21</v>
      </c>
      <c r="E8" s="6" t="s">
        <v>28</v>
      </c>
      <c r="F8" s="9">
        <v>45610</v>
      </c>
      <c r="G8" s="9">
        <v>45612</v>
      </c>
      <c r="H8" s="6">
        <f t="shared" si="1"/>
        <v>2</v>
      </c>
      <c r="I8" s="11">
        <v>30</v>
      </c>
      <c r="J8" s="6" t="s">
        <v>27</v>
      </c>
      <c r="K8" s="11">
        <f t="shared" si="2"/>
        <v>50</v>
      </c>
      <c r="L8" s="11">
        <v>54</v>
      </c>
      <c r="M8" s="11"/>
      <c r="N8" s="11" t="str">
        <f t="shared" si="0"/>
        <v>0</v>
      </c>
      <c r="O8" s="11">
        <f t="shared" si="3"/>
        <v>8.64</v>
      </c>
      <c r="P8" s="11">
        <f t="shared" si="4"/>
        <v>0</v>
      </c>
      <c r="Q8" s="10" t="s">
        <v>31</v>
      </c>
      <c r="R8" s="6">
        <f t="shared" si="5"/>
        <v>0</v>
      </c>
      <c r="S8" s="11" t="str">
        <f t="shared" si="6"/>
        <v>0</v>
      </c>
      <c r="U8" s="6" t="s">
        <v>33</v>
      </c>
      <c r="V8" s="6">
        <v>100</v>
      </c>
    </row>
    <row r="9" spans="2:22" ht="19.2" x14ac:dyDescent="0.3">
      <c r="B9" s="6">
        <v>5</v>
      </c>
      <c r="C9" s="8" t="s">
        <v>34</v>
      </c>
      <c r="D9" s="6" t="s">
        <v>35</v>
      </c>
      <c r="E9" s="6" t="s">
        <v>22</v>
      </c>
      <c r="F9" s="9">
        <v>45611</v>
      </c>
      <c r="G9" s="9">
        <v>45613</v>
      </c>
      <c r="H9" s="6">
        <f t="shared" si="1"/>
        <v>2</v>
      </c>
      <c r="I9" s="11">
        <v>40</v>
      </c>
      <c r="J9" s="6" t="s">
        <v>29</v>
      </c>
      <c r="K9" s="11">
        <f t="shared" si="2"/>
        <v>80</v>
      </c>
      <c r="L9" s="11">
        <v>65</v>
      </c>
      <c r="M9" s="11">
        <v>54</v>
      </c>
      <c r="N9" s="11" t="str">
        <f t="shared" si="0"/>
        <v>0</v>
      </c>
      <c r="O9" s="11">
        <f t="shared" si="3"/>
        <v>10.4</v>
      </c>
      <c r="P9" s="11">
        <f t="shared" si="4"/>
        <v>10.8</v>
      </c>
      <c r="Q9" s="10" t="s">
        <v>31</v>
      </c>
      <c r="R9" s="6">
        <f t="shared" si="5"/>
        <v>0</v>
      </c>
      <c r="S9" s="11" t="str">
        <f t="shared" si="6"/>
        <v>0</v>
      </c>
      <c r="U9" s="6" t="s">
        <v>36</v>
      </c>
      <c r="V9" s="6">
        <v>120</v>
      </c>
    </row>
    <row r="10" spans="2:22" ht="19.2" x14ac:dyDescent="0.3">
      <c r="B10" s="6">
        <v>6</v>
      </c>
      <c r="C10" s="8" t="s">
        <v>37</v>
      </c>
      <c r="D10" s="6" t="s">
        <v>21</v>
      </c>
      <c r="E10" s="6" t="s">
        <v>28</v>
      </c>
      <c r="F10" s="9">
        <v>45612</v>
      </c>
      <c r="G10" s="9">
        <v>45614</v>
      </c>
      <c r="H10" s="6">
        <f t="shared" si="1"/>
        <v>2</v>
      </c>
      <c r="I10" s="11">
        <v>10</v>
      </c>
      <c r="J10" s="6" t="s">
        <v>27</v>
      </c>
      <c r="K10" s="11">
        <f t="shared" si="2"/>
        <v>50</v>
      </c>
      <c r="L10" s="11">
        <v>76</v>
      </c>
      <c r="M10" s="11">
        <v>53</v>
      </c>
      <c r="N10" s="11" t="str">
        <f t="shared" si="0"/>
        <v>0</v>
      </c>
      <c r="O10" s="11">
        <f t="shared" si="3"/>
        <v>12.16</v>
      </c>
      <c r="P10" s="11">
        <f t="shared" si="4"/>
        <v>10.600000000000001</v>
      </c>
      <c r="Q10" s="12" t="s">
        <v>31</v>
      </c>
      <c r="R10" s="6">
        <f t="shared" si="5"/>
        <v>0</v>
      </c>
      <c r="S10" s="11" t="str">
        <f t="shared" si="6"/>
        <v>0</v>
      </c>
      <c r="U10" s="6" t="s">
        <v>23</v>
      </c>
      <c r="V10" s="6">
        <v>200</v>
      </c>
    </row>
    <row r="11" spans="2:22" ht="19.2" x14ac:dyDescent="0.3">
      <c r="B11" s="6">
        <v>7</v>
      </c>
      <c r="C11" s="8" t="s">
        <v>38</v>
      </c>
      <c r="D11" s="6" t="s">
        <v>35</v>
      </c>
      <c r="E11" s="6" t="s">
        <v>28</v>
      </c>
      <c r="F11" s="9">
        <v>45613</v>
      </c>
      <c r="G11" s="9">
        <v>45615</v>
      </c>
      <c r="H11" s="6">
        <f t="shared" si="1"/>
        <v>2</v>
      </c>
      <c r="I11" s="11">
        <v>40</v>
      </c>
      <c r="J11" s="6" t="s">
        <v>29</v>
      </c>
      <c r="K11" s="11">
        <f t="shared" si="2"/>
        <v>80</v>
      </c>
      <c r="L11" s="11">
        <v>33</v>
      </c>
      <c r="M11" s="11">
        <v>55</v>
      </c>
      <c r="N11" s="11" t="str">
        <f t="shared" si="0"/>
        <v>0</v>
      </c>
      <c r="O11" s="11">
        <f t="shared" si="3"/>
        <v>5.28</v>
      </c>
      <c r="P11" s="11">
        <f t="shared" si="4"/>
        <v>11</v>
      </c>
      <c r="Q11" s="10" t="s">
        <v>31</v>
      </c>
      <c r="R11" s="6">
        <f t="shared" si="5"/>
        <v>0</v>
      </c>
      <c r="S11" s="11" t="str">
        <f t="shared" si="6"/>
        <v>0</v>
      </c>
      <c r="U11" s="6" t="s">
        <v>39</v>
      </c>
      <c r="V11" s="6">
        <v>400</v>
      </c>
    </row>
    <row r="12" spans="2:22" ht="19.2" x14ac:dyDescent="0.3">
      <c r="B12" s="6">
        <v>8</v>
      </c>
      <c r="C12" s="8" t="s">
        <v>40</v>
      </c>
      <c r="D12" s="6" t="s">
        <v>27</v>
      </c>
      <c r="E12" s="6" t="s">
        <v>22</v>
      </c>
      <c r="F12" s="9">
        <v>45614</v>
      </c>
      <c r="G12" s="9">
        <v>45616</v>
      </c>
      <c r="H12" s="6">
        <f t="shared" si="1"/>
        <v>2</v>
      </c>
      <c r="I12" s="11">
        <v>30</v>
      </c>
      <c r="J12" s="6" t="s">
        <v>33</v>
      </c>
      <c r="K12" s="11">
        <f t="shared" si="2"/>
        <v>100</v>
      </c>
      <c r="L12" s="11">
        <v>67</v>
      </c>
      <c r="M12" s="11"/>
      <c r="N12" s="11">
        <f t="shared" si="0"/>
        <v>30</v>
      </c>
      <c r="O12" s="11">
        <f t="shared" si="3"/>
        <v>10.72</v>
      </c>
      <c r="P12" s="11">
        <f t="shared" si="4"/>
        <v>0</v>
      </c>
      <c r="Q12" s="10">
        <v>0.1</v>
      </c>
      <c r="R12" s="6">
        <f t="shared" si="5"/>
        <v>20</v>
      </c>
      <c r="S12" s="11">
        <f t="shared" si="6"/>
        <v>257.72000000000003</v>
      </c>
    </row>
    <row r="13" spans="2:22" ht="19.2" x14ac:dyDescent="0.3">
      <c r="B13" s="6">
        <v>9</v>
      </c>
      <c r="C13" s="8" t="s">
        <v>41</v>
      </c>
      <c r="D13" s="6" t="s">
        <v>35</v>
      </c>
      <c r="E13" s="6" t="s">
        <v>22</v>
      </c>
      <c r="F13" s="9">
        <v>45615</v>
      </c>
      <c r="G13" s="9">
        <v>45617</v>
      </c>
      <c r="H13" s="6">
        <f t="shared" si="1"/>
        <v>2</v>
      </c>
      <c r="I13" s="11">
        <v>20</v>
      </c>
      <c r="J13" s="6" t="s">
        <v>36</v>
      </c>
      <c r="K13" s="11">
        <f t="shared" si="2"/>
        <v>120</v>
      </c>
      <c r="L13" s="11">
        <v>29</v>
      </c>
      <c r="M13" s="11"/>
      <c r="N13" s="11">
        <f t="shared" si="0"/>
        <v>36</v>
      </c>
      <c r="O13" s="11">
        <f>L13*$O$3</f>
        <v>4.6399999999999997</v>
      </c>
      <c r="P13" s="11">
        <f t="shared" si="4"/>
        <v>0</v>
      </c>
      <c r="Q13" s="10">
        <v>0.2</v>
      </c>
      <c r="R13" s="6">
        <f t="shared" si="5"/>
        <v>48</v>
      </c>
      <c r="S13" s="11">
        <f t="shared" si="6"/>
        <v>241.64</v>
      </c>
    </row>
    <row r="14" spans="2:22" ht="19.2" x14ac:dyDescent="0.3">
      <c r="B14" s="6">
        <v>10</v>
      </c>
      <c r="C14" s="8" t="s">
        <v>42</v>
      </c>
      <c r="D14" s="6" t="s">
        <v>21</v>
      </c>
      <c r="E14" s="6" t="s">
        <v>22</v>
      </c>
      <c r="F14" s="9">
        <v>45616</v>
      </c>
      <c r="G14" s="9">
        <v>45618</v>
      </c>
      <c r="H14" s="6">
        <f t="shared" si="1"/>
        <v>2</v>
      </c>
      <c r="I14" s="11">
        <v>20</v>
      </c>
      <c r="J14" s="6" t="s">
        <v>36</v>
      </c>
      <c r="K14" s="11">
        <f t="shared" si="2"/>
        <v>120</v>
      </c>
      <c r="L14" s="11">
        <v>75</v>
      </c>
      <c r="M14" s="11">
        <v>45</v>
      </c>
      <c r="N14" s="11">
        <f t="shared" si="0"/>
        <v>36</v>
      </c>
      <c r="O14" s="11">
        <f t="shared" si="3"/>
        <v>12</v>
      </c>
      <c r="P14" s="11">
        <f t="shared" si="4"/>
        <v>9</v>
      </c>
      <c r="Q14" s="10">
        <v>0.1</v>
      </c>
      <c r="R14" s="6">
        <f t="shared" si="5"/>
        <v>24</v>
      </c>
      <c r="S14" s="11">
        <f t="shared" si="6"/>
        <v>373</v>
      </c>
    </row>
    <row r="15" spans="2:22" ht="19.2" x14ac:dyDescent="0.3">
      <c r="B15" s="6">
        <v>11</v>
      </c>
      <c r="C15" s="8" t="s">
        <v>43</v>
      </c>
      <c r="D15" s="6" t="s">
        <v>27</v>
      </c>
      <c r="E15" s="6" t="s">
        <v>28</v>
      </c>
      <c r="F15" s="9">
        <v>45617</v>
      </c>
      <c r="G15" s="9">
        <v>45619</v>
      </c>
      <c r="H15" s="6">
        <f t="shared" si="1"/>
        <v>2</v>
      </c>
      <c r="I15" s="11">
        <v>30</v>
      </c>
      <c r="J15" s="6" t="s">
        <v>36</v>
      </c>
      <c r="K15" s="11">
        <f t="shared" si="2"/>
        <v>120</v>
      </c>
      <c r="L15" s="11">
        <v>65</v>
      </c>
      <c r="M15" s="11">
        <v>66</v>
      </c>
      <c r="N15" s="11" t="str">
        <f t="shared" si="0"/>
        <v>0</v>
      </c>
      <c r="O15" s="11">
        <f t="shared" si="3"/>
        <v>10.4</v>
      </c>
      <c r="P15" s="11">
        <f t="shared" si="4"/>
        <v>13.200000000000001</v>
      </c>
      <c r="Q15" s="10" t="s">
        <v>31</v>
      </c>
      <c r="R15" s="6">
        <f t="shared" si="5"/>
        <v>0</v>
      </c>
      <c r="S15" s="11" t="str">
        <f t="shared" si="6"/>
        <v>0</v>
      </c>
    </row>
    <row r="16" spans="2:22" ht="19.2" x14ac:dyDescent="0.3">
      <c r="B16" s="6">
        <v>12</v>
      </c>
      <c r="C16" s="8" t="s">
        <v>44</v>
      </c>
      <c r="D16" s="6" t="s">
        <v>35</v>
      </c>
      <c r="E16" s="6" t="s">
        <v>22</v>
      </c>
      <c r="F16" s="9">
        <v>45618</v>
      </c>
      <c r="G16" s="9">
        <v>45620</v>
      </c>
      <c r="H16" s="6">
        <f t="shared" si="1"/>
        <v>2</v>
      </c>
      <c r="I16" s="11">
        <v>50</v>
      </c>
      <c r="J16" s="6" t="s">
        <v>39</v>
      </c>
      <c r="K16" s="11">
        <f t="shared" si="2"/>
        <v>400</v>
      </c>
      <c r="L16" s="11">
        <v>34</v>
      </c>
      <c r="M16" s="11">
        <v>87</v>
      </c>
      <c r="N16" s="11" t="str">
        <f t="shared" si="0"/>
        <v>0</v>
      </c>
      <c r="O16" s="11">
        <f t="shared" si="3"/>
        <v>5.44</v>
      </c>
      <c r="P16" s="11">
        <f t="shared" si="4"/>
        <v>17.400000000000002</v>
      </c>
      <c r="Q16" s="10" t="s">
        <v>31</v>
      </c>
      <c r="R16" s="6">
        <f t="shared" si="5"/>
        <v>0</v>
      </c>
      <c r="S16" s="11" t="str">
        <f t="shared" si="6"/>
        <v>0</v>
      </c>
    </row>
    <row r="17" spans="2:19" ht="19.2" x14ac:dyDescent="0.3">
      <c r="B17" s="6">
        <v>13</v>
      </c>
      <c r="C17" s="8" t="s">
        <v>45</v>
      </c>
      <c r="D17" s="6" t="s">
        <v>21</v>
      </c>
      <c r="E17" s="6" t="s">
        <v>22</v>
      </c>
      <c r="F17" s="9">
        <v>45619</v>
      </c>
      <c r="G17" s="9">
        <v>45621</v>
      </c>
      <c r="H17" s="6">
        <f t="shared" si="1"/>
        <v>2</v>
      </c>
      <c r="I17" s="11">
        <v>30</v>
      </c>
      <c r="J17" s="6" t="s">
        <v>23</v>
      </c>
      <c r="K17" s="11">
        <f t="shared" si="2"/>
        <v>200</v>
      </c>
      <c r="L17" s="11">
        <v>76</v>
      </c>
      <c r="M17" s="11">
        <v>45</v>
      </c>
      <c r="N17" s="11" t="str">
        <f t="shared" si="0"/>
        <v>0</v>
      </c>
      <c r="O17" s="11">
        <f t="shared" si="3"/>
        <v>12.16</v>
      </c>
      <c r="P17" s="11">
        <f t="shared" si="4"/>
        <v>9</v>
      </c>
      <c r="Q17" s="10" t="s">
        <v>31</v>
      </c>
      <c r="R17" s="6">
        <f t="shared" si="5"/>
        <v>0</v>
      </c>
      <c r="S17" s="11" t="str">
        <f t="shared" si="6"/>
        <v>0</v>
      </c>
    </row>
    <row r="18" spans="2:19" ht="19.2" x14ac:dyDescent="0.3">
      <c r="B18" s="6">
        <v>14</v>
      </c>
      <c r="C18" s="8" t="s">
        <v>46</v>
      </c>
      <c r="D18" s="6" t="s">
        <v>21</v>
      </c>
      <c r="E18" s="6" t="s">
        <v>22</v>
      </c>
      <c r="F18" s="9">
        <v>45620</v>
      </c>
      <c r="G18" s="9">
        <v>45622</v>
      </c>
      <c r="H18" s="6">
        <f t="shared" si="1"/>
        <v>2</v>
      </c>
      <c r="I18" s="11">
        <v>40</v>
      </c>
      <c r="J18" s="6" t="s">
        <v>33</v>
      </c>
      <c r="K18" s="11">
        <f t="shared" si="2"/>
        <v>100</v>
      </c>
      <c r="L18" s="11">
        <v>79</v>
      </c>
      <c r="M18" s="11">
        <v>34</v>
      </c>
      <c r="N18" s="11" t="str">
        <f t="shared" si="0"/>
        <v>0</v>
      </c>
      <c r="O18" s="11">
        <f t="shared" si="3"/>
        <v>12.64</v>
      </c>
      <c r="P18" s="11">
        <f t="shared" si="4"/>
        <v>6.8000000000000007</v>
      </c>
      <c r="Q18" s="10" t="s">
        <v>31</v>
      </c>
      <c r="R18" s="6">
        <f t="shared" si="5"/>
        <v>0</v>
      </c>
      <c r="S18" s="11" t="str">
        <f t="shared" si="6"/>
        <v>0</v>
      </c>
    </row>
    <row r="19" spans="2:19" ht="19.2" x14ac:dyDescent="0.3">
      <c r="B19" s="6">
        <v>15</v>
      </c>
      <c r="C19" s="8" t="s">
        <v>47</v>
      </c>
      <c r="D19" s="6" t="s">
        <v>35</v>
      </c>
      <c r="E19" s="6" t="s">
        <v>28</v>
      </c>
      <c r="F19" s="9">
        <v>45621</v>
      </c>
      <c r="G19" s="9">
        <v>45623</v>
      </c>
      <c r="H19" s="6">
        <f t="shared" si="1"/>
        <v>2</v>
      </c>
      <c r="I19" s="11">
        <v>10</v>
      </c>
      <c r="J19" s="6" t="s">
        <v>29</v>
      </c>
      <c r="K19" s="11">
        <f t="shared" si="2"/>
        <v>80</v>
      </c>
      <c r="L19" s="11">
        <v>90</v>
      </c>
      <c r="M19" s="11">
        <v>23</v>
      </c>
      <c r="N19" s="11" t="str">
        <f t="shared" si="0"/>
        <v>0</v>
      </c>
      <c r="O19" s="11">
        <f t="shared" si="3"/>
        <v>14.4</v>
      </c>
      <c r="P19" s="11">
        <f t="shared" si="4"/>
        <v>4.6000000000000005</v>
      </c>
      <c r="Q19" s="10" t="s">
        <v>31</v>
      </c>
      <c r="R19" s="6">
        <f t="shared" si="5"/>
        <v>0</v>
      </c>
      <c r="S19" s="11" t="str">
        <f t="shared" si="6"/>
        <v>0</v>
      </c>
    </row>
    <row r="20" spans="2:19" ht="19.2" x14ac:dyDescent="0.3">
      <c r="B20" s="6">
        <v>16</v>
      </c>
      <c r="C20" s="8" t="s">
        <v>48</v>
      </c>
      <c r="D20" s="6" t="s">
        <v>21</v>
      </c>
      <c r="E20" s="6" t="s">
        <v>28</v>
      </c>
      <c r="F20" s="9">
        <v>45622</v>
      </c>
      <c r="G20" s="9">
        <v>45624</v>
      </c>
      <c r="H20" s="6">
        <f t="shared" si="1"/>
        <v>2</v>
      </c>
      <c r="I20" s="11">
        <v>10</v>
      </c>
      <c r="J20" s="6" t="s">
        <v>27</v>
      </c>
      <c r="K20" s="11">
        <f t="shared" si="2"/>
        <v>50</v>
      </c>
      <c r="L20" s="11">
        <v>98</v>
      </c>
      <c r="M20" s="11">
        <v>12</v>
      </c>
      <c r="N20" s="11" t="str">
        <f t="shared" si="0"/>
        <v>0</v>
      </c>
      <c r="O20" s="11">
        <f t="shared" si="3"/>
        <v>15.68</v>
      </c>
      <c r="P20" s="11">
        <f t="shared" si="4"/>
        <v>2.4000000000000004</v>
      </c>
      <c r="Q20" s="10" t="s">
        <v>31</v>
      </c>
      <c r="R20" s="6">
        <f t="shared" si="5"/>
        <v>0</v>
      </c>
      <c r="S20" s="11" t="str">
        <f t="shared" si="6"/>
        <v>0</v>
      </c>
    </row>
    <row r="21" spans="2:19" ht="19.2" x14ac:dyDescent="0.3">
      <c r="B21" s="6">
        <v>17</v>
      </c>
      <c r="C21" s="8" t="s">
        <v>49</v>
      </c>
      <c r="D21" s="6" t="s">
        <v>35</v>
      </c>
      <c r="E21" s="6" t="s">
        <v>28</v>
      </c>
      <c r="F21" s="9">
        <v>45623</v>
      </c>
      <c r="G21" s="9">
        <v>45625</v>
      </c>
      <c r="H21" s="6">
        <f t="shared" si="1"/>
        <v>2</v>
      </c>
      <c r="I21" s="11">
        <v>20</v>
      </c>
      <c r="J21" s="6" t="s">
        <v>39</v>
      </c>
      <c r="K21" s="11">
        <f t="shared" si="2"/>
        <v>400</v>
      </c>
      <c r="L21" s="11">
        <v>90</v>
      </c>
      <c r="M21" s="11"/>
      <c r="N21" s="11" t="str">
        <f t="shared" si="0"/>
        <v>0</v>
      </c>
      <c r="O21" s="11">
        <f t="shared" si="3"/>
        <v>14.4</v>
      </c>
      <c r="P21" s="11">
        <f t="shared" si="4"/>
        <v>0</v>
      </c>
      <c r="Q21" s="10" t="s">
        <v>31</v>
      </c>
      <c r="R21" s="6">
        <f t="shared" si="5"/>
        <v>0</v>
      </c>
      <c r="S21" s="11" t="str">
        <f t="shared" si="6"/>
        <v>0</v>
      </c>
    </row>
    <row r="22" spans="2:19" ht="19.2" x14ac:dyDescent="0.3">
      <c r="B22" s="6">
        <v>18</v>
      </c>
      <c r="C22" s="8" t="s">
        <v>50</v>
      </c>
      <c r="D22" s="6" t="s">
        <v>21</v>
      </c>
      <c r="E22" s="6" t="s">
        <v>22</v>
      </c>
      <c r="F22" s="9">
        <v>45624</v>
      </c>
      <c r="G22" s="9">
        <v>45626</v>
      </c>
      <c r="H22" s="6">
        <f t="shared" si="1"/>
        <v>2</v>
      </c>
      <c r="I22" s="11">
        <v>20</v>
      </c>
      <c r="J22" s="6" t="s">
        <v>27</v>
      </c>
      <c r="K22" s="11">
        <f t="shared" si="2"/>
        <v>50</v>
      </c>
      <c r="L22" s="11">
        <v>45</v>
      </c>
      <c r="M22" s="11"/>
      <c r="N22" s="11" t="str">
        <f t="shared" si="0"/>
        <v>0</v>
      </c>
      <c r="O22" s="11">
        <f t="shared" si="3"/>
        <v>7.2</v>
      </c>
      <c r="P22" s="11">
        <f t="shared" si="4"/>
        <v>0</v>
      </c>
      <c r="Q22" s="10" t="s">
        <v>31</v>
      </c>
      <c r="R22" s="6">
        <f t="shared" si="5"/>
        <v>0</v>
      </c>
      <c r="S22" s="11" t="str">
        <f t="shared" si="6"/>
        <v>0</v>
      </c>
    </row>
    <row r="23" spans="2:19" ht="19.2" x14ac:dyDescent="0.3">
      <c r="B23" s="6">
        <v>19</v>
      </c>
      <c r="C23" s="8" t="s">
        <v>51</v>
      </c>
      <c r="D23" s="6" t="s">
        <v>27</v>
      </c>
      <c r="E23" s="6" t="s">
        <v>22</v>
      </c>
      <c r="F23" s="9">
        <v>45625</v>
      </c>
      <c r="G23" s="9">
        <v>45627</v>
      </c>
      <c r="H23" s="6">
        <f t="shared" si="1"/>
        <v>2</v>
      </c>
      <c r="I23" s="11">
        <v>30</v>
      </c>
      <c r="J23" s="6" t="s">
        <v>29</v>
      </c>
      <c r="K23" s="11">
        <f t="shared" si="2"/>
        <v>80</v>
      </c>
      <c r="L23" s="11">
        <v>23</v>
      </c>
      <c r="M23" s="11">
        <v>44</v>
      </c>
      <c r="N23" s="11" t="str">
        <f t="shared" si="0"/>
        <v>0</v>
      </c>
      <c r="O23" s="11">
        <f t="shared" si="3"/>
        <v>3.68</v>
      </c>
      <c r="P23" s="11">
        <f t="shared" si="4"/>
        <v>8.8000000000000007</v>
      </c>
      <c r="Q23" s="10" t="s">
        <v>31</v>
      </c>
      <c r="R23" s="6">
        <f t="shared" si="5"/>
        <v>0</v>
      </c>
      <c r="S23" s="11" t="str">
        <f t="shared" si="6"/>
        <v>0</v>
      </c>
    </row>
    <row r="24" spans="2:19" ht="19.2" x14ac:dyDescent="0.3">
      <c r="B24" s="6">
        <v>20</v>
      </c>
      <c r="C24" s="8" t="s">
        <v>52</v>
      </c>
      <c r="D24" s="6" t="s">
        <v>27</v>
      </c>
      <c r="E24" s="6" t="s">
        <v>22</v>
      </c>
      <c r="F24" s="9">
        <v>45626</v>
      </c>
      <c r="G24" s="9">
        <v>45628</v>
      </c>
      <c r="H24" s="6">
        <f t="shared" si="1"/>
        <v>2</v>
      </c>
      <c r="I24" s="11">
        <v>30</v>
      </c>
      <c r="J24" s="6" t="s">
        <v>29</v>
      </c>
      <c r="K24" s="11">
        <f t="shared" si="2"/>
        <v>80</v>
      </c>
      <c r="L24" s="11">
        <v>66</v>
      </c>
      <c r="M24" s="11"/>
      <c r="N24" s="11" t="str">
        <f t="shared" si="0"/>
        <v>0</v>
      </c>
      <c r="O24" s="11">
        <f t="shared" si="3"/>
        <v>10.56</v>
      </c>
      <c r="P24" s="11">
        <f t="shared" si="4"/>
        <v>0</v>
      </c>
      <c r="Q24" s="10" t="s">
        <v>31</v>
      </c>
      <c r="R24" s="6">
        <f t="shared" si="5"/>
        <v>0</v>
      </c>
      <c r="S24" s="11" t="str">
        <f t="shared" si="6"/>
        <v>0</v>
      </c>
    </row>
  </sheetData>
  <mergeCells count="15">
    <mergeCell ref="B2:S2"/>
    <mergeCell ref="B3:B4"/>
    <mergeCell ref="C3:C4"/>
    <mergeCell ref="D3:D4"/>
    <mergeCell ref="E3:E4"/>
    <mergeCell ref="F3:F4"/>
    <mergeCell ref="G3:G4"/>
    <mergeCell ref="H3:H4"/>
    <mergeCell ref="S3:S4"/>
    <mergeCell ref="I3:I4"/>
    <mergeCell ref="J3:J4"/>
    <mergeCell ref="K3:K4"/>
    <mergeCell ref="L3:L4"/>
    <mergeCell ref="M3:M4"/>
    <mergeCell ref="R3:R4"/>
  </mergeCells>
  <phoneticPr fontId="11" type="noConversion"/>
  <conditionalFormatting sqref="E5:E24">
    <cfRule type="cellIs" dxfId="9" priority="5" operator="equal">
      <formula>"Yes"</formula>
    </cfRule>
    <cfRule type="cellIs" dxfId="8" priority="6" operator="equal">
      <formula>"no"</formula>
    </cfRule>
  </conditionalFormatting>
  <conditionalFormatting sqref="Q5:Q24">
    <cfRule type="cellIs" dxfId="7" priority="2" operator="equal">
      <formula>"Complimentary"</formula>
    </cfRule>
    <cfRule type="cellIs" dxfId="6" priority="4" operator="equal">
      <formula>"No"</formula>
    </cfRule>
  </conditionalFormatting>
  <conditionalFormatting sqref="Q10">
    <cfRule type="cellIs" dxfId="5" priority="1" operator="equal">
      <formula>"Complimentary"</formula>
    </cfRule>
    <cfRule type="cellIs" dxfId="4" priority="3" operator="equal">
      <formula>"Complimentary"</formula>
    </cfRule>
  </conditionalFormatting>
  <dataValidations count="4">
    <dataValidation type="list" allowBlank="1" showInputMessage="1" showErrorMessage="1" sqref="D5:D24" xr:uid="{BB9D06D3-ABA4-4A04-B4A2-EE28A25ADCB7}">
      <formula1>"Single,couple,Family"</formula1>
    </dataValidation>
    <dataValidation type="list" allowBlank="1" showInputMessage="1" showErrorMessage="1" sqref="E5:E24" xr:uid="{6466CE39-6846-4831-A942-64FEB2F6DA54}">
      <formula1>"Yes,No"</formula1>
    </dataValidation>
    <dataValidation type="list" allowBlank="1" showInputMessage="1" showErrorMessage="1" sqref="J5:J24" xr:uid="{84689E17-D3CA-4246-BD26-8AEF54E6AB58}">
      <formula1>"Single,Double,Suit,Studio,Deluxe,Villa"</formula1>
    </dataValidation>
    <dataValidation type="list" allowBlank="1" showInputMessage="1" showErrorMessage="1" sqref="Q5:Q24" xr:uid="{6B896092-EDBC-410E-920E-BC0F21C38E1F}">
      <formula1>"No,5%,10%,15%,20%,25%,30%,100%,Complimentary"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3A82-32B6-43DB-AC19-82C600DB10BE}">
  <dimension ref="G4:U28"/>
  <sheetViews>
    <sheetView topLeftCell="F1" zoomScaleNormal="60" zoomScaleSheetLayoutView="100" workbookViewId="0">
      <selection activeCell="I7" sqref="I7:I8"/>
    </sheetView>
  </sheetViews>
  <sheetFormatPr defaultRowHeight="14.4" x14ac:dyDescent="0.3"/>
  <cols>
    <col min="7" max="7" width="10.33203125" bestFit="1" customWidth="1"/>
    <col min="8" max="8" width="13.88671875" bestFit="1" customWidth="1"/>
    <col min="9" max="9" width="14.44140625" bestFit="1" customWidth="1"/>
  </cols>
  <sheetData>
    <row r="4" spans="7:21" ht="15.6" x14ac:dyDescent="0.3">
      <c r="T4" s="7" t="s">
        <v>24</v>
      </c>
      <c r="U4" s="7" t="s">
        <v>25</v>
      </c>
    </row>
    <row r="5" spans="7:21" ht="15.6" x14ac:dyDescent="0.3">
      <c r="T5" s="6" t="s">
        <v>27</v>
      </c>
      <c r="U5" s="6">
        <v>50</v>
      </c>
    </row>
    <row r="6" spans="7:21" ht="15.6" x14ac:dyDescent="0.3">
      <c r="T6" s="6" t="s">
        <v>29</v>
      </c>
      <c r="U6" s="6">
        <v>80</v>
      </c>
    </row>
    <row r="7" spans="7:21" ht="15.6" x14ac:dyDescent="0.3">
      <c r="G7" s="15" t="s">
        <v>8</v>
      </c>
      <c r="H7" s="15" t="s">
        <v>9</v>
      </c>
      <c r="I7" s="15" t="s">
        <v>10</v>
      </c>
      <c r="T7" s="6" t="s">
        <v>33</v>
      </c>
      <c r="U7" s="6">
        <v>100</v>
      </c>
    </row>
    <row r="8" spans="7:21" ht="15.6" x14ac:dyDescent="0.3">
      <c r="G8" s="15"/>
      <c r="H8" s="15"/>
      <c r="I8" s="15"/>
      <c r="T8" s="6" t="s">
        <v>36</v>
      </c>
      <c r="U8" s="6">
        <v>120</v>
      </c>
    </row>
    <row r="9" spans="7:21" ht="15.6" x14ac:dyDescent="0.3">
      <c r="G9" s="11">
        <v>10</v>
      </c>
      <c r="H9" s="6" t="s">
        <v>27</v>
      </c>
      <c r="I9" s="11">
        <f t="shared" ref="I9:I28" si="0">IF(H9=0,"0",IF(H9="Single",$U$5,IF(H9="Double",$U$6,IF(H9="Suit",$U$7,IF(H9="Studio",$U$8,IF(H9="Deluxe",$U$9,IF(H9="Villa",$U$10)))))))</f>
        <v>50</v>
      </c>
      <c r="T9" s="6" t="s">
        <v>23</v>
      </c>
      <c r="U9" s="6">
        <v>200</v>
      </c>
    </row>
    <row r="10" spans="7:21" ht="15.6" x14ac:dyDescent="0.3">
      <c r="G10" s="11">
        <v>20</v>
      </c>
      <c r="H10" s="6" t="s">
        <v>29</v>
      </c>
      <c r="I10" s="11">
        <f t="shared" si="0"/>
        <v>80</v>
      </c>
      <c r="T10" s="6" t="s">
        <v>39</v>
      </c>
      <c r="U10" s="6">
        <v>400</v>
      </c>
    </row>
    <row r="11" spans="7:21" ht="15.6" x14ac:dyDescent="0.3">
      <c r="G11" s="11">
        <v>20</v>
      </c>
      <c r="H11" s="6" t="s">
        <v>27</v>
      </c>
      <c r="I11" s="11">
        <f t="shared" si="0"/>
        <v>50</v>
      </c>
    </row>
    <row r="12" spans="7:21" ht="15.6" x14ac:dyDescent="0.3">
      <c r="G12" s="11">
        <v>30</v>
      </c>
      <c r="H12" s="6" t="s">
        <v>27</v>
      </c>
      <c r="I12" s="11">
        <f t="shared" si="0"/>
        <v>50</v>
      </c>
    </row>
    <row r="13" spans="7:21" ht="15.6" x14ac:dyDescent="0.3">
      <c r="G13" s="11">
        <v>40</v>
      </c>
      <c r="H13" s="6" t="s">
        <v>29</v>
      </c>
      <c r="I13" s="11">
        <f t="shared" si="0"/>
        <v>80</v>
      </c>
    </row>
    <row r="14" spans="7:21" ht="15.6" x14ac:dyDescent="0.3">
      <c r="G14" s="11">
        <v>10</v>
      </c>
      <c r="H14" s="6" t="s">
        <v>27</v>
      </c>
      <c r="I14" s="11">
        <f t="shared" si="0"/>
        <v>50</v>
      </c>
    </row>
    <row r="15" spans="7:21" ht="15.6" x14ac:dyDescent="0.3">
      <c r="G15" s="11">
        <v>40</v>
      </c>
      <c r="H15" s="6" t="s">
        <v>29</v>
      </c>
      <c r="I15" s="11">
        <f t="shared" si="0"/>
        <v>80</v>
      </c>
    </row>
    <row r="16" spans="7:21" ht="15.6" x14ac:dyDescent="0.3">
      <c r="G16" s="11">
        <v>30</v>
      </c>
      <c r="H16" s="6" t="s">
        <v>33</v>
      </c>
      <c r="I16" s="11">
        <f t="shared" si="0"/>
        <v>100</v>
      </c>
    </row>
    <row r="17" spans="7:9" ht="15.6" x14ac:dyDescent="0.3">
      <c r="G17" s="11">
        <v>20</v>
      </c>
      <c r="H17" s="6" t="s">
        <v>36</v>
      </c>
      <c r="I17" s="11">
        <f t="shared" si="0"/>
        <v>120</v>
      </c>
    </row>
    <row r="18" spans="7:9" ht="15.6" x14ac:dyDescent="0.3">
      <c r="G18" s="11">
        <v>20</v>
      </c>
      <c r="H18" s="6" t="s">
        <v>36</v>
      </c>
      <c r="I18" s="11">
        <f t="shared" si="0"/>
        <v>120</v>
      </c>
    </row>
    <row r="19" spans="7:9" ht="15.6" x14ac:dyDescent="0.3">
      <c r="G19" s="11">
        <v>30</v>
      </c>
      <c r="H19" s="6" t="s">
        <v>36</v>
      </c>
      <c r="I19" s="11">
        <f t="shared" si="0"/>
        <v>120</v>
      </c>
    </row>
    <row r="20" spans="7:9" ht="15.6" x14ac:dyDescent="0.3">
      <c r="G20" s="11">
        <v>50</v>
      </c>
      <c r="H20" s="6" t="s">
        <v>39</v>
      </c>
      <c r="I20" s="11">
        <f t="shared" si="0"/>
        <v>400</v>
      </c>
    </row>
    <row r="21" spans="7:9" ht="15.6" x14ac:dyDescent="0.3">
      <c r="G21" s="11">
        <v>30</v>
      </c>
      <c r="H21" s="6" t="s">
        <v>23</v>
      </c>
      <c r="I21" s="11">
        <f t="shared" si="0"/>
        <v>200</v>
      </c>
    </row>
    <row r="22" spans="7:9" ht="15.6" x14ac:dyDescent="0.3">
      <c r="G22" s="11">
        <v>40</v>
      </c>
      <c r="H22" s="6" t="s">
        <v>27</v>
      </c>
      <c r="I22" s="11">
        <f t="shared" si="0"/>
        <v>50</v>
      </c>
    </row>
    <row r="23" spans="7:9" ht="15.6" x14ac:dyDescent="0.3">
      <c r="G23" s="11">
        <v>10</v>
      </c>
      <c r="H23" s="6" t="s">
        <v>29</v>
      </c>
      <c r="I23" s="11">
        <f t="shared" si="0"/>
        <v>80</v>
      </c>
    </row>
    <row r="24" spans="7:9" ht="15.6" x14ac:dyDescent="0.3">
      <c r="G24" s="11">
        <v>10</v>
      </c>
      <c r="H24" s="6" t="s">
        <v>27</v>
      </c>
      <c r="I24" s="11">
        <f t="shared" si="0"/>
        <v>50</v>
      </c>
    </row>
    <row r="25" spans="7:9" ht="15.6" x14ac:dyDescent="0.3">
      <c r="G25" s="11">
        <v>20</v>
      </c>
      <c r="H25" s="6" t="s">
        <v>39</v>
      </c>
      <c r="I25" s="11">
        <f t="shared" si="0"/>
        <v>400</v>
      </c>
    </row>
    <row r="26" spans="7:9" ht="15.6" x14ac:dyDescent="0.3">
      <c r="G26" s="11">
        <v>20</v>
      </c>
      <c r="H26" s="6" t="s">
        <v>27</v>
      </c>
      <c r="I26" s="11">
        <f t="shared" si="0"/>
        <v>50</v>
      </c>
    </row>
    <row r="27" spans="7:9" ht="15.6" x14ac:dyDescent="0.3">
      <c r="G27" s="11">
        <v>30</v>
      </c>
      <c r="H27" s="6" t="s">
        <v>29</v>
      </c>
      <c r="I27" s="11">
        <f t="shared" si="0"/>
        <v>80</v>
      </c>
    </row>
    <row r="28" spans="7:9" ht="15.6" x14ac:dyDescent="0.3">
      <c r="G28" s="11">
        <v>30</v>
      </c>
      <c r="H28" s="6" t="s">
        <v>29</v>
      </c>
      <c r="I28" s="11">
        <f t="shared" si="0"/>
        <v>80</v>
      </c>
    </row>
  </sheetData>
  <mergeCells count="3">
    <mergeCell ref="G7:G8"/>
    <mergeCell ref="H7:H8"/>
    <mergeCell ref="I7:I8"/>
  </mergeCells>
  <dataValidations count="1">
    <dataValidation type="list" allowBlank="1" showInputMessage="1" showErrorMessage="1" sqref="H9:H28" xr:uid="{C57261B5-77E6-4A2F-A799-97E9886AACE8}">
      <formula1>"Single,Double,Suit,Studio,Deluxe,Villa"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B6D14-73BE-4385-A80A-455D85EDC283}">
  <dimension ref="H7:I28"/>
  <sheetViews>
    <sheetView zoomScaleNormal="60" zoomScaleSheetLayoutView="100" workbookViewId="0"/>
  </sheetViews>
  <sheetFormatPr defaultRowHeight="14.4" x14ac:dyDescent="0.3"/>
  <cols>
    <col min="8" max="8" width="12.33203125" bestFit="1" customWidth="1"/>
    <col min="9" max="9" width="12.88671875" bestFit="1" customWidth="1"/>
  </cols>
  <sheetData>
    <row r="7" spans="8:9" x14ac:dyDescent="0.3">
      <c r="H7" s="15" t="s">
        <v>11</v>
      </c>
      <c r="I7" s="15" t="s">
        <v>12</v>
      </c>
    </row>
    <row r="8" spans="8:9" x14ac:dyDescent="0.3">
      <c r="H8" s="15"/>
      <c r="I8" s="15"/>
    </row>
    <row r="9" spans="8:9" ht="15.6" x14ac:dyDescent="0.3">
      <c r="H9" s="11">
        <v>12</v>
      </c>
      <c r="I9" s="11">
        <v>34</v>
      </c>
    </row>
    <row r="10" spans="8:9" ht="15.6" x14ac:dyDescent="0.3">
      <c r="H10" s="11">
        <v>34</v>
      </c>
      <c r="I10" s="11">
        <v>54</v>
      </c>
    </row>
    <row r="11" spans="8:9" ht="15.6" x14ac:dyDescent="0.3">
      <c r="H11" s="11">
        <v>33</v>
      </c>
      <c r="I11" s="11"/>
    </row>
    <row r="12" spans="8:9" ht="15.6" x14ac:dyDescent="0.3">
      <c r="H12" s="11">
        <v>54</v>
      </c>
      <c r="I12" s="11"/>
    </row>
    <row r="13" spans="8:9" ht="15.6" x14ac:dyDescent="0.3">
      <c r="H13" s="11">
        <v>65</v>
      </c>
      <c r="I13" s="11">
        <v>54</v>
      </c>
    </row>
    <row r="14" spans="8:9" ht="15.6" x14ac:dyDescent="0.3">
      <c r="H14" s="11">
        <v>76</v>
      </c>
      <c r="I14" s="11">
        <v>53</v>
      </c>
    </row>
    <row r="15" spans="8:9" ht="15.6" x14ac:dyDescent="0.3">
      <c r="H15" s="11">
        <v>33</v>
      </c>
      <c r="I15" s="11">
        <v>55</v>
      </c>
    </row>
    <row r="16" spans="8:9" ht="15.6" x14ac:dyDescent="0.3">
      <c r="H16" s="11">
        <v>67</v>
      </c>
      <c r="I16" s="11"/>
    </row>
    <row r="17" spans="8:9" ht="15.6" x14ac:dyDescent="0.3">
      <c r="H17" s="11">
        <v>29</v>
      </c>
      <c r="I17" s="11"/>
    </row>
    <row r="18" spans="8:9" ht="15.6" x14ac:dyDescent="0.3">
      <c r="H18" s="11">
        <v>75</v>
      </c>
      <c r="I18" s="11">
        <v>45</v>
      </c>
    </row>
    <row r="19" spans="8:9" ht="15.6" x14ac:dyDescent="0.3">
      <c r="H19" s="11">
        <v>65</v>
      </c>
      <c r="I19" s="11">
        <v>66</v>
      </c>
    </row>
    <row r="20" spans="8:9" ht="15.6" x14ac:dyDescent="0.3">
      <c r="H20" s="11">
        <v>34</v>
      </c>
      <c r="I20" s="11">
        <v>87</v>
      </c>
    </row>
    <row r="21" spans="8:9" ht="15.6" x14ac:dyDescent="0.3">
      <c r="H21" s="11">
        <v>76</v>
      </c>
      <c r="I21" s="11">
        <v>45</v>
      </c>
    </row>
    <row r="22" spans="8:9" ht="15.6" x14ac:dyDescent="0.3">
      <c r="H22" s="11">
        <v>79</v>
      </c>
      <c r="I22" s="11">
        <v>34</v>
      </c>
    </row>
    <row r="23" spans="8:9" ht="15.6" x14ac:dyDescent="0.3">
      <c r="H23" s="11">
        <v>90</v>
      </c>
      <c r="I23" s="11">
        <v>23</v>
      </c>
    </row>
    <row r="24" spans="8:9" ht="15.6" x14ac:dyDescent="0.3">
      <c r="H24" s="11">
        <v>98</v>
      </c>
      <c r="I24" s="11">
        <v>12</v>
      </c>
    </row>
    <row r="25" spans="8:9" ht="15.6" x14ac:dyDescent="0.3">
      <c r="H25" s="11">
        <v>90</v>
      </c>
      <c r="I25" s="11"/>
    </row>
    <row r="26" spans="8:9" ht="15.6" x14ac:dyDescent="0.3">
      <c r="H26" s="11">
        <v>45</v>
      </c>
      <c r="I26" s="11"/>
    </row>
    <row r="27" spans="8:9" ht="15.6" x14ac:dyDescent="0.3">
      <c r="H27" s="11">
        <v>23</v>
      </c>
      <c r="I27" s="11">
        <v>44</v>
      </c>
    </row>
    <row r="28" spans="8:9" ht="15.6" x14ac:dyDescent="0.3">
      <c r="H28" s="11">
        <v>66</v>
      </c>
      <c r="I28" s="11"/>
    </row>
  </sheetData>
  <mergeCells count="2">
    <mergeCell ref="H7:H8"/>
    <mergeCell ref="I7:I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6442C-6A11-4E26-8987-B5EC603E681E}">
  <dimension ref="I8:L29"/>
  <sheetViews>
    <sheetView topLeftCell="H7" zoomScaleNormal="60" zoomScaleSheetLayoutView="100" workbookViewId="0">
      <selection activeCell="J11" sqref="J11"/>
    </sheetView>
  </sheetViews>
  <sheetFormatPr defaultRowHeight="14.4" x14ac:dyDescent="0.3"/>
  <cols>
    <col min="9" max="9" width="12.33203125" bestFit="1" customWidth="1"/>
    <col min="10" max="10" width="9.33203125" bestFit="1" customWidth="1"/>
    <col min="11" max="11" width="8.33203125" bestFit="1" customWidth="1"/>
    <col min="12" max="12" width="16.33203125" bestFit="1" customWidth="1"/>
  </cols>
  <sheetData>
    <row r="8" spans="9:12" ht="15.6" x14ac:dyDescent="0.3">
      <c r="I8" s="3">
        <v>0.15</v>
      </c>
      <c r="J8" s="3">
        <v>0.16</v>
      </c>
      <c r="K8" s="3">
        <v>0.2</v>
      </c>
      <c r="L8" s="4" t="s">
        <v>13</v>
      </c>
    </row>
    <row r="9" spans="9:12" ht="15.6" x14ac:dyDescent="0.3">
      <c r="I9" s="5" t="s">
        <v>16</v>
      </c>
      <c r="J9" s="5" t="s">
        <v>17</v>
      </c>
      <c r="K9" s="5" t="s">
        <v>18</v>
      </c>
      <c r="L9" s="5" t="s">
        <v>19</v>
      </c>
    </row>
    <row r="10" spans="9:12" ht="15.6" x14ac:dyDescent="0.3">
      <c r="I10" s="11">
        <f>IF(L10=100%,"0",IF(L10="No",Sheet2!H5*Sheet2!K5,IF(L10="Complimentary","0",(Sheet2!H5*Sheet2!K5*$L$10))))</f>
        <v>400</v>
      </c>
      <c r="J10" s="11">
        <f>IF(L10=100%,"0",IF(L10="No",Sheet2!H6*Sheet2!K6,IF(L10="Complimentary","0",(Sheet2!H6*Sheet2!K6*$L$10))))</f>
        <v>160</v>
      </c>
      <c r="K10" s="11">
        <f t="shared" ref="K10:K29" si="0">H10*$P$3</f>
        <v>0</v>
      </c>
      <c r="L10" s="10" t="s">
        <v>22</v>
      </c>
    </row>
    <row r="11" spans="9:12" ht="15.6" x14ac:dyDescent="0.3">
      <c r="I11" s="11">
        <f>IF(L11=100%,"0",IF(L11="No",Sheet2!H6*Sheet2!K6,IF(L11="Complimentary","0",(Sheet2!H6*Sheet2!K6*$L$11))))</f>
        <v>16</v>
      </c>
      <c r="J11" s="11">
        <f>G11*$O$3</f>
        <v>0</v>
      </c>
      <c r="K11" s="11">
        <f t="shared" si="0"/>
        <v>0</v>
      </c>
      <c r="L11" s="10">
        <v>0.1</v>
      </c>
    </row>
    <row r="12" spans="9:12" ht="15.6" x14ac:dyDescent="0.3">
      <c r="I12" s="11">
        <f>IF(L12=100%,"0",IF(L12="No",Sheet2!H7*Sheet2!K7,IF(L12="Complimentary","0",(Sheet2!H7*Sheet2!K7*$L$12))))</f>
        <v>10</v>
      </c>
      <c r="J12" s="11">
        <f t="shared" ref="J12:J29" ca="1" si="1">J12*$J$8</f>
        <v>0</v>
      </c>
      <c r="K12" s="11">
        <f t="shared" si="0"/>
        <v>0</v>
      </c>
      <c r="L12" s="10">
        <v>0.1</v>
      </c>
    </row>
    <row r="13" spans="9:12" ht="15.6" x14ac:dyDescent="0.3">
      <c r="I13" s="11" t="str">
        <f>IF(L13=100%,"0",IF(L13="No",Sheet2!H8*Sheet2!K8,IF(L13="Complimentary","0",(Sheet2!H8*Sheet2!K8*$L$13))))</f>
        <v>0</v>
      </c>
      <c r="J13" s="11">
        <f t="shared" ca="1" si="1"/>
        <v>0</v>
      </c>
      <c r="K13" s="11">
        <f t="shared" si="0"/>
        <v>0</v>
      </c>
      <c r="L13" s="10">
        <v>1</v>
      </c>
    </row>
    <row r="14" spans="9:12" ht="15.6" x14ac:dyDescent="0.3">
      <c r="I14" s="11">
        <f>IF(L14=100%,"0",IF(L14="No",Sheet2!H9*Sheet2!K9,IF(L14="Complimentary","0",(Sheet2!H9*Sheet2!K9*$L$14))))</f>
        <v>160</v>
      </c>
      <c r="J14" s="11">
        <f t="shared" ca="1" si="1"/>
        <v>0</v>
      </c>
      <c r="K14" s="11">
        <f t="shared" si="0"/>
        <v>0</v>
      </c>
      <c r="L14" s="10" t="s">
        <v>22</v>
      </c>
    </row>
    <row r="15" spans="9:12" ht="15.6" x14ac:dyDescent="0.3">
      <c r="I15" s="11" t="str">
        <f>IF(L15=100%,"0",IF(L15="No",Sheet2!H10*Sheet2!K10,IF(L15="Complimentary","0",(Sheet2!H10*Sheet2!K10*$L$15))))</f>
        <v>0</v>
      </c>
      <c r="J15" s="11">
        <f t="shared" ca="1" si="1"/>
        <v>0</v>
      </c>
      <c r="K15" s="11">
        <f t="shared" si="0"/>
        <v>0</v>
      </c>
      <c r="L15" s="6" t="s">
        <v>31</v>
      </c>
    </row>
    <row r="16" spans="9:12" ht="15.6" x14ac:dyDescent="0.3">
      <c r="I16" s="11">
        <f>IF(L16=100%,"0",IF(L16="No",Sheet2!H11*Sheet2!K11,IF(L16="Complimentary","0",(Sheet2!H11*Sheet2!K11*$L$16))))</f>
        <v>40</v>
      </c>
      <c r="J16" s="11">
        <f t="shared" ca="1" si="1"/>
        <v>0</v>
      </c>
      <c r="K16" s="11">
        <f t="shared" si="0"/>
        <v>0</v>
      </c>
      <c r="L16" s="10">
        <v>0.25</v>
      </c>
    </row>
    <row r="17" spans="9:12" ht="15.6" x14ac:dyDescent="0.3">
      <c r="I17" s="11">
        <f>IF(L17=100%,"0",IF(L17="No",Sheet2!H12*Sheet2!K12,IF(L17="Complimentary","0",(Sheet2!H12*Sheet2!K12*$L$17))))</f>
        <v>50</v>
      </c>
      <c r="J17" s="11">
        <f t="shared" ca="1" si="1"/>
        <v>0</v>
      </c>
      <c r="K17" s="11">
        <f t="shared" si="0"/>
        <v>0</v>
      </c>
      <c r="L17" s="10">
        <v>0.25</v>
      </c>
    </row>
    <row r="18" spans="9:12" ht="15.6" x14ac:dyDescent="0.3">
      <c r="I18" s="11">
        <f>IF(L18=100%,"0",IF(L18="No",Sheet2!H13*Sheet2!K13,IF(L18="Complimentary","0",(Sheet2!H13*Sheet2!K13*$L$18))))</f>
        <v>60</v>
      </c>
      <c r="J18" s="11">
        <f t="shared" ca="1" si="1"/>
        <v>0</v>
      </c>
      <c r="K18" s="11">
        <f t="shared" si="0"/>
        <v>0</v>
      </c>
      <c r="L18" s="10">
        <v>0.25</v>
      </c>
    </row>
    <row r="19" spans="9:12" ht="15.6" x14ac:dyDescent="0.3">
      <c r="I19" s="11">
        <f>IF(L19=100%,"0",IF(L19="No",Sheet2!H14*Sheet2!K14,IF(L19="Complimentary","0",(Sheet2!H14*Sheet2!K14*$L$19))))</f>
        <v>72</v>
      </c>
      <c r="J19" s="11">
        <f t="shared" ca="1" si="1"/>
        <v>0</v>
      </c>
      <c r="K19" s="11">
        <f t="shared" si="0"/>
        <v>0</v>
      </c>
      <c r="L19" s="10">
        <v>0.3</v>
      </c>
    </row>
    <row r="20" spans="9:12" ht="15.6" x14ac:dyDescent="0.3">
      <c r="I20" s="11">
        <f>IF(L20=100%,"0",IF(L20="No",Sheet2!H15*Sheet2!K15,IF(L20="Complimentary","0",(Sheet2!H15*Sheet2!K15*$L$20))))</f>
        <v>240</v>
      </c>
      <c r="J20" s="11">
        <f t="shared" ca="1" si="1"/>
        <v>0</v>
      </c>
      <c r="K20" s="11">
        <f t="shared" si="0"/>
        <v>0</v>
      </c>
      <c r="L20" s="6" t="s">
        <v>22</v>
      </c>
    </row>
    <row r="21" spans="9:12" ht="15.6" x14ac:dyDescent="0.3">
      <c r="I21" s="11">
        <f>IF(L21=100%,"0",IF(L21="No",Sheet2!H16*Sheet2!K16,IF(L21="Complimentary","0",(Sheet2!H16*Sheet2!K16*$L$21))))</f>
        <v>800</v>
      </c>
      <c r="J21" s="11">
        <f t="shared" ca="1" si="1"/>
        <v>0</v>
      </c>
      <c r="K21" s="11">
        <f t="shared" si="0"/>
        <v>0</v>
      </c>
      <c r="L21" s="10" t="s">
        <v>22</v>
      </c>
    </row>
    <row r="22" spans="9:12" ht="15.6" x14ac:dyDescent="0.3">
      <c r="I22" s="11">
        <f>IF(L22=100%,"0",IF(L22="No",Sheet2!H17*Sheet2!K17,IF(L22="Complimentary","0",(Sheet2!H17*Sheet2!K17*$L$22))))</f>
        <v>20</v>
      </c>
      <c r="J22" s="11">
        <f t="shared" ca="1" si="1"/>
        <v>0</v>
      </c>
      <c r="K22" s="11">
        <f t="shared" si="0"/>
        <v>0</v>
      </c>
      <c r="L22" s="10">
        <v>0.05</v>
      </c>
    </row>
    <row r="23" spans="9:12" ht="15.6" x14ac:dyDescent="0.3">
      <c r="I23" s="11">
        <f>IF(L23=100%,"0",IF(L23="No",Sheet2!H18*Sheet2!K18,IF(L23="Complimentary","0",(Sheet2!H18*Sheet2!K18*$L$23))))</f>
        <v>20</v>
      </c>
      <c r="J23" s="11">
        <f t="shared" ca="1" si="1"/>
        <v>0</v>
      </c>
      <c r="K23" s="11">
        <f t="shared" si="0"/>
        <v>0</v>
      </c>
      <c r="L23" s="10">
        <v>0.1</v>
      </c>
    </row>
    <row r="24" spans="9:12" ht="15.6" x14ac:dyDescent="0.3">
      <c r="I24" s="11">
        <f>IF(L24=100%,"0",IF(L24="No",Sheet2!H19*Sheet2!K19,IF(L24="Complimentary","0",(Sheet2!H19*Sheet2!K19*$L$24))))</f>
        <v>32</v>
      </c>
      <c r="J24" s="11">
        <f t="shared" ca="1" si="1"/>
        <v>0</v>
      </c>
      <c r="K24" s="11">
        <f t="shared" si="0"/>
        <v>0</v>
      </c>
      <c r="L24" s="10">
        <v>0.2</v>
      </c>
    </row>
    <row r="25" spans="9:12" ht="15.6" x14ac:dyDescent="0.3">
      <c r="I25" s="11">
        <f>IF(L25=100%,"0",IF(L25="No",Sheet2!H20*Sheet2!K20,IF(L25="Complimentary","0",(Sheet2!H20*Sheet2!K20*$L$25))))</f>
        <v>15</v>
      </c>
      <c r="J25" s="11">
        <f t="shared" ca="1" si="1"/>
        <v>0</v>
      </c>
      <c r="K25" s="11">
        <f t="shared" si="0"/>
        <v>0</v>
      </c>
      <c r="L25" s="10">
        <v>0.15</v>
      </c>
    </row>
    <row r="26" spans="9:12" ht="15.6" x14ac:dyDescent="0.3">
      <c r="I26" s="11">
        <f>IF(L26=100%,"0",IF(L26="No",Sheet2!H21*Sheet2!K21,IF(L26="Complimentary","0",(Sheet2!H21*Sheet2!K21*$L$26))))</f>
        <v>200</v>
      </c>
      <c r="J26" s="11">
        <f t="shared" ca="1" si="1"/>
        <v>0</v>
      </c>
      <c r="K26" s="11">
        <f t="shared" si="0"/>
        <v>0</v>
      </c>
      <c r="L26" s="10">
        <v>0.25</v>
      </c>
    </row>
    <row r="27" spans="9:12" ht="15.6" x14ac:dyDescent="0.3">
      <c r="I27" s="11">
        <f>IF(L27=100%,"0",IF(L27="No",Sheet2!H22*Sheet2!K22,IF(L27="Complimentary","0",(Sheet2!H22*Sheet2!K22*$L$27))))</f>
        <v>15</v>
      </c>
      <c r="J27" s="11">
        <f t="shared" ca="1" si="1"/>
        <v>0</v>
      </c>
      <c r="K27" s="11">
        <f t="shared" si="0"/>
        <v>0</v>
      </c>
      <c r="L27" s="10">
        <v>0.15</v>
      </c>
    </row>
    <row r="28" spans="9:12" ht="15.6" x14ac:dyDescent="0.3">
      <c r="I28" s="11">
        <f>IF(L28=100%,"0",IF(L28="No",Sheet2!H23*Sheet2!K23,IF(L28="Complimentary","0",(Sheet2!H23*Sheet2!K23*$L$28))))</f>
        <v>8</v>
      </c>
      <c r="J28" s="11">
        <f t="shared" ca="1" si="1"/>
        <v>0</v>
      </c>
      <c r="K28" s="11">
        <f t="shared" si="0"/>
        <v>0</v>
      </c>
      <c r="L28" s="10">
        <v>0.05</v>
      </c>
    </row>
    <row r="29" spans="9:12" ht="15.6" x14ac:dyDescent="0.3">
      <c r="I29" s="11">
        <f>IF(L29=100%,"0",IF(L29="No",Sheet2!H24*Sheet2!K24,IF(L29="Complimentary","0",(Sheet2!H24*Sheet2!K24*$L$29))))</f>
        <v>160</v>
      </c>
      <c r="J29" s="11">
        <f t="shared" ca="1" si="1"/>
        <v>0</v>
      </c>
      <c r="K29" s="11">
        <f t="shared" si="0"/>
        <v>0</v>
      </c>
      <c r="L29" s="6" t="s">
        <v>22</v>
      </c>
    </row>
  </sheetData>
  <conditionalFormatting sqref="L10:L29">
    <cfRule type="cellIs" dxfId="3" priority="2" operator="equal">
      <formula>"No"</formula>
    </cfRule>
  </conditionalFormatting>
  <conditionalFormatting sqref="L15">
    <cfRule type="cellIs" dxfId="2" priority="1" operator="equal">
      <formula>"Complimentary"</formula>
    </cfRule>
  </conditionalFormatting>
  <dataValidations count="1">
    <dataValidation type="list" allowBlank="1" showInputMessage="1" showErrorMessage="1" sqref="L10:L29" xr:uid="{3E0951E4-01F1-4724-BB92-C640B2CAEB96}">
      <formula1>"No,5%,10%,15%,20%,25%,30%,100%,Complimentary"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26919-A2CA-4163-9510-7810184AD9DC}">
  <dimension ref="A1:D22"/>
  <sheetViews>
    <sheetView zoomScaleNormal="60" zoomScaleSheetLayoutView="100" workbookViewId="0">
      <selection activeCell="E32" sqref="E32"/>
    </sheetView>
  </sheetViews>
  <sheetFormatPr defaultRowHeight="14.4" x14ac:dyDescent="0.3"/>
  <cols>
    <col min="1" max="1" width="5.88671875" bestFit="1" customWidth="1"/>
    <col min="2" max="2" width="20.5546875" bestFit="1" customWidth="1"/>
    <col min="3" max="3" width="22.6640625" bestFit="1" customWidth="1"/>
    <col min="4" max="4" width="10.33203125" bestFit="1" customWidth="1"/>
  </cols>
  <sheetData>
    <row r="1" spans="1:4" x14ac:dyDescent="0.3">
      <c r="A1" s="15" t="s">
        <v>1</v>
      </c>
      <c r="B1" s="15" t="s">
        <v>2</v>
      </c>
      <c r="C1" s="15" t="s">
        <v>3</v>
      </c>
      <c r="D1" s="15" t="s">
        <v>4</v>
      </c>
    </row>
    <row r="2" spans="1:4" x14ac:dyDescent="0.3">
      <c r="A2" s="15"/>
      <c r="B2" s="15"/>
      <c r="C2" s="15"/>
      <c r="D2" s="15"/>
    </row>
    <row r="3" spans="1:4" ht="19.2" x14ac:dyDescent="0.3">
      <c r="A3" s="6">
        <v>1</v>
      </c>
      <c r="B3" s="8" t="s">
        <v>20</v>
      </c>
      <c r="C3" s="6" t="s">
        <v>35</v>
      </c>
      <c r="D3" s="6" t="s">
        <v>22</v>
      </c>
    </row>
    <row r="4" spans="1:4" ht="19.2" x14ac:dyDescent="0.3">
      <c r="A4" s="6">
        <v>2</v>
      </c>
      <c r="B4" s="8" t="s">
        <v>26</v>
      </c>
      <c r="C4" s="6" t="s">
        <v>27</v>
      </c>
      <c r="D4" s="6" t="s">
        <v>28</v>
      </c>
    </row>
    <row r="5" spans="1:4" ht="19.2" x14ac:dyDescent="0.3">
      <c r="A5" s="6">
        <v>3</v>
      </c>
      <c r="B5" s="8" t="s">
        <v>30</v>
      </c>
      <c r="C5" s="6" t="s">
        <v>21</v>
      </c>
      <c r="D5" s="6" t="s">
        <v>22</v>
      </c>
    </row>
    <row r="6" spans="1:4" ht="19.2" x14ac:dyDescent="0.3">
      <c r="A6" s="6">
        <v>4</v>
      </c>
      <c r="B6" s="8" t="s">
        <v>32</v>
      </c>
      <c r="C6" s="6" t="s">
        <v>21</v>
      </c>
      <c r="D6" s="6" t="s">
        <v>28</v>
      </c>
    </row>
    <row r="7" spans="1:4" ht="19.2" x14ac:dyDescent="0.3">
      <c r="A7" s="6">
        <v>5</v>
      </c>
      <c r="B7" s="8" t="s">
        <v>34</v>
      </c>
      <c r="C7" s="6" t="s">
        <v>35</v>
      </c>
      <c r="D7" s="6" t="s">
        <v>28</v>
      </c>
    </row>
    <row r="8" spans="1:4" ht="19.2" x14ac:dyDescent="0.3">
      <c r="A8" s="6">
        <v>6</v>
      </c>
      <c r="B8" s="8" t="s">
        <v>37</v>
      </c>
      <c r="C8" s="6" t="s">
        <v>21</v>
      </c>
      <c r="D8" s="6" t="s">
        <v>28</v>
      </c>
    </row>
    <row r="9" spans="1:4" ht="19.2" x14ac:dyDescent="0.3">
      <c r="A9" s="6">
        <v>7</v>
      </c>
      <c r="B9" s="8" t="s">
        <v>38</v>
      </c>
      <c r="C9" s="6" t="s">
        <v>35</v>
      </c>
      <c r="D9" s="6" t="s">
        <v>28</v>
      </c>
    </row>
    <row r="10" spans="1:4" ht="38.4" x14ac:dyDescent="0.3">
      <c r="A10" s="6">
        <v>8</v>
      </c>
      <c r="B10" s="8" t="s">
        <v>40</v>
      </c>
      <c r="C10" s="6" t="s">
        <v>27</v>
      </c>
      <c r="D10" s="6" t="s">
        <v>22</v>
      </c>
    </row>
    <row r="11" spans="1:4" ht="19.2" x14ac:dyDescent="0.3">
      <c r="A11" s="6">
        <v>9</v>
      </c>
      <c r="B11" s="8" t="s">
        <v>41</v>
      </c>
      <c r="C11" s="6" t="s">
        <v>35</v>
      </c>
      <c r="D11" s="6" t="s">
        <v>22</v>
      </c>
    </row>
    <row r="12" spans="1:4" ht="19.2" x14ac:dyDescent="0.3">
      <c r="A12" s="6">
        <v>10</v>
      </c>
      <c r="B12" s="8" t="s">
        <v>42</v>
      </c>
      <c r="C12" s="6" t="s">
        <v>21</v>
      </c>
      <c r="D12" s="6" t="s">
        <v>22</v>
      </c>
    </row>
    <row r="13" spans="1:4" ht="19.2" x14ac:dyDescent="0.3">
      <c r="A13" s="6">
        <v>11</v>
      </c>
      <c r="B13" s="8" t="s">
        <v>43</v>
      </c>
      <c r="C13" s="6" t="s">
        <v>27</v>
      </c>
      <c r="D13" s="6" t="s">
        <v>28</v>
      </c>
    </row>
    <row r="14" spans="1:4" ht="19.2" x14ac:dyDescent="0.3">
      <c r="A14" s="6">
        <v>12</v>
      </c>
      <c r="B14" s="8" t="s">
        <v>44</v>
      </c>
      <c r="C14" s="6" t="s">
        <v>35</v>
      </c>
      <c r="D14" s="6" t="s">
        <v>22</v>
      </c>
    </row>
    <row r="15" spans="1:4" ht="19.2" x14ac:dyDescent="0.3">
      <c r="A15" s="6">
        <v>13</v>
      </c>
      <c r="B15" s="8" t="s">
        <v>45</v>
      </c>
      <c r="C15" s="6" t="s">
        <v>21</v>
      </c>
      <c r="D15" s="6" t="s">
        <v>28</v>
      </c>
    </row>
    <row r="16" spans="1:4" ht="19.2" x14ac:dyDescent="0.3">
      <c r="A16" s="6">
        <v>14</v>
      </c>
      <c r="B16" s="8" t="s">
        <v>46</v>
      </c>
      <c r="C16" s="6" t="s">
        <v>21</v>
      </c>
      <c r="D16" s="6" t="s">
        <v>22</v>
      </c>
    </row>
    <row r="17" spans="1:4" ht="19.2" x14ac:dyDescent="0.3">
      <c r="A17" s="6">
        <v>15</v>
      </c>
      <c r="B17" s="8" t="s">
        <v>47</v>
      </c>
      <c r="C17" s="6" t="s">
        <v>35</v>
      </c>
      <c r="D17" s="6" t="s">
        <v>28</v>
      </c>
    </row>
    <row r="18" spans="1:4" ht="19.2" x14ac:dyDescent="0.3">
      <c r="A18" s="6">
        <v>16</v>
      </c>
      <c r="B18" s="8" t="s">
        <v>48</v>
      </c>
      <c r="C18" s="6" t="s">
        <v>21</v>
      </c>
      <c r="D18" s="6" t="s">
        <v>28</v>
      </c>
    </row>
    <row r="19" spans="1:4" ht="19.2" x14ac:dyDescent="0.3">
      <c r="A19" s="6">
        <v>17</v>
      </c>
      <c r="B19" s="8" t="s">
        <v>49</v>
      </c>
      <c r="C19" s="6" t="s">
        <v>35</v>
      </c>
      <c r="D19" s="6" t="s">
        <v>28</v>
      </c>
    </row>
    <row r="20" spans="1:4" ht="19.2" x14ac:dyDescent="0.3">
      <c r="A20" s="6">
        <v>18</v>
      </c>
      <c r="B20" s="8" t="s">
        <v>50</v>
      </c>
      <c r="C20" s="6" t="s">
        <v>21</v>
      </c>
      <c r="D20" s="6" t="s">
        <v>22</v>
      </c>
    </row>
    <row r="21" spans="1:4" ht="19.2" x14ac:dyDescent="0.3">
      <c r="A21" s="6">
        <v>19</v>
      </c>
      <c r="B21" s="8" t="s">
        <v>51</v>
      </c>
      <c r="C21" s="6" t="s">
        <v>27</v>
      </c>
      <c r="D21" s="6" t="s">
        <v>22</v>
      </c>
    </row>
    <row r="22" spans="1:4" ht="19.2" x14ac:dyDescent="0.3">
      <c r="A22" s="6">
        <v>20</v>
      </c>
      <c r="B22" s="8" t="s">
        <v>52</v>
      </c>
      <c r="C22" s="6" t="s">
        <v>27</v>
      </c>
      <c r="D22" s="6" t="s">
        <v>22</v>
      </c>
    </row>
  </sheetData>
  <mergeCells count="4">
    <mergeCell ref="A1:A2"/>
    <mergeCell ref="B1:B2"/>
    <mergeCell ref="C1:C2"/>
    <mergeCell ref="D1:D2"/>
  </mergeCells>
  <conditionalFormatting sqref="D3:D22">
    <cfRule type="cellIs" dxfId="1" priority="1" operator="equal">
      <formula>"Yes"</formula>
    </cfRule>
    <cfRule type="cellIs" dxfId="0" priority="2" operator="equal">
      <formula>"no"</formula>
    </cfRule>
  </conditionalFormatting>
  <dataValidations count="2">
    <dataValidation type="list" allowBlank="1" showInputMessage="1" showErrorMessage="1" sqref="D3:D22" xr:uid="{C596F338-5425-46A6-802B-7194EEF7C559}">
      <formula1>"Yes,No"</formula1>
    </dataValidation>
    <dataValidation type="list" allowBlank="1" showInputMessage="1" showErrorMessage="1" sqref="C3:C22" xr:uid="{F50AE096-BC51-4A21-B717-91791D77D8E7}">
      <formula1>"Single,couple,Family"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921-9C22-4658-B24D-00DA4CA76697}">
  <dimension ref="E5:G26"/>
  <sheetViews>
    <sheetView topLeftCell="D1" zoomScaleNormal="60" zoomScaleSheetLayoutView="100" workbookViewId="0">
      <selection activeCell="E31" sqref="E31"/>
    </sheetView>
  </sheetViews>
  <sheetFormatPr defaultRowHeight="14.4" x14ac:dyDescent="0.3"/>
  <cols>
    <col min="5" max="5" width="15" bestFit="1" customWidth="1"/>
    <col min="6" max="6" width="16" bestFit="1" customWidth="1"/>
    <col min="7" max="7" width="10.5546875" bestFit="1" customWidth="1"/>
  </cols>
  <sheetData>
    <row r="5" spans="5:7" x14ac:dyDescent="0.3">
      <c r="E5" s="15" t="s">
        <v>5</v>
      </c>
      <c r="F5" s="15" t="s">
        <v>6</v>
      </c>
      <c r="G5" s="15" t="s">
        <v>7</v>
      </c>
    </row>
    <row r="6" spans="5:7" x14ac:dyDescent="0.3">
      <c r="E6" s="15"/>
      <c r="F6" s="15"/>
      <c r="G6" s="15"/>
    </row>
    <row r="7" spans="5:7" ht="15.6" x14ac:dyDescent="0.3">
      <c r="E7" s="9">
        <v>45607</v>
      </c>
      <c r="F7" s="9">
        <v>45609</v>
      </c>
      <c r="G7" s="6">
        <f t="shared" ref="G7:G26" si="0">F7-E7</f>
        <v>2</v>
      </c>
    </row>
    <row r="8" spans="5:7" ht="15.6" x14ac:dyDescent="0.3">
      <c r="E8" s="9">
        <v>45608</v>
      </c>
      <c r="F8" s="9">
        <v>45610</v>
      </c>
      <c r="G8" s="6">
        <f t="shared" si="0"/>
        <v>2</v>
      </c>
    </row>
    <row r="9" spans="5:7" ht="15.6" x14ac:dyDescent="0.3">
      <c r="E9" s="9">
        <v>45609</v>
      </c>
      <c r="F9" s="9">
        <v>45611</v>
      </c>
      <c r="G9" s="6">
        <f t="shared" si="0"/>
        <v>2</v>
      </c>
    </row>
    <row r="10" spans="5:7" ht="15.6" x14ac:dyDescent="0.3">
      <c r="E10" s="9">
        <v>45610</v>
      </c>
      <c r="F10" s="9">
        <v>45612</v>
      </c>
      <c r="G10" s="6">
        <f t="shared" si="0"/>
        <v>2</v>
      </c>
    </row>
    <row r="11" spans="5:7" ht="15.6" x14ac:dyDescent="0.3">
      <c r="E11" s="9">
        <v>45611</v>
      </c>
      <c r="F11" s="9">
        <v>45613</v>
      </c>
      <c r="G11" s="6">
        <f t="shared" si="0"/>
        <v>2</v>
      </c>
    </row>
    <row r="12" spans="5:7" ht="15.6" x14ac:dyDescent="0.3">
      <c r="E12" s="9">
        <v>45597</v>
      </c>
      <c r="F12" s="9">
        <v>45614</v>
      </c>
      <c r="G12" s="6">
        <f t="shared" si="0"/>
        <v>17</v>
      </c>
    </row>
    <row r="13" spans="5:7" ht="15.6" x14ac:dyDescent="0.3">
      <c r="E13" s="9">
        <v>45613</v>
      </c>
      <c r="F13" s="9">
        <v>45615</v>
      </c>
      <c r="G13" s="6">
        <f t="shared" si="0"/>
        <v>2</v>
      </c>
    </row>
    <row r="14" spans="5:7" ht="15.6" x14ac:dyDescent="0.3">
      <c r="E14" s="9">
        <v>45614</v>
      </c>
      <c r="F14" s="9">
        <v>45616</v>
      </c>
      <c r="G14" s="6">
        <f t="shared" si="0"/>
        <v>2</v>
      </c>
    </row>
    <row r="15" spans="5:7" ht="15.6" x14ac:dyDescent="0.3">
      <c r="E15" s="9">
        <v>45615</v>
      </c>
      <c r="F15" s="9">
        <v>45617</v>
      </c>
      <c r="G15" s="6">
        <f t="shared" si="0"/>
        <v>2</v>
      </c>
    </row>
    <row r="16" spans="5:7" ht="15.6" x14ac:dyDescent="0.3">
      <c r="E16" s="9">
        <v>45616</v>
      </c>
      <c r="F16" s="9">
        <v>45618</v>
      </c>
      <c r="G16" s="6">
        <f t="shared" si="0"/>
        <v>2</v>
      </c>
    </row>
    <row r="17" spans="5:7" ht="15.6" x14ac:dyDescent="0.3">
      <c r="E17" s="9">
        <v>45617</v>
      </c>
      <c r="F17" s="9">
        <v>45619</v>
      </c>
      <c r="G17" s="6">
        <f t="shared" si="0"/>
        <v>2</v>
      </c>
    </row>
    <row r="18" spans="5:7" ht="15.6" x14ac:dyDescent="0.3">
      <c r="E18" s="9">
        <v>45618</v>
      </c>
      <c r="F18" s="9">
        <v>45620</v>
      </c>
      <c r="G18" s="6">
        <f t="shared" si="0"/>
        <v>2</v>
      </c>
    </row>
    <row r="19" spans="5:7" ht="15.6" x14ac:dyDescent="0.3">
      <c r="E19" s="9">
        <v>45619</v>
      </c>
      <c r="F19" s="9">
        <v>45621</v>
      </c>
      <c r="G19" s="6">
        <f t="shared" si="0"/>
        <v>2</v>
      </c>
    </row>
    <row r="20" spans="5:7" ht="15.6" x14ac:dyDescent="0.3">
      <c r="E20" s="9">
        <v>45620</v>
      </c>
      <c r="F20" s="9">
        <v>45622</v>
      </c>
      <c r="G20" s="6">
        <f t="shared" si="0"/>
        <v>2</v>
      </c>
    </row>
    <row r="21" spans="5:7" ht="15.6" x14ac:dyDescent="0.3">
      <c r="E21" s="9">
        <v>45621</v>
      </c>
      <c r="F21" s="9">
        <v>45623</v>
      </c>
      <c r="G21" s="6">
        <f t="shared" si="0"/>
        <v>2</v>
      </c>
    </row>
    <row r="22" spans="5:7" ht="15.6" x14ac:dyDescent="0.3">
      <c r="E22" s="9">
        <v>45622</v>
      </c>
      <c r="F22" s="9">
        <v>45624</v>
      </c>
      <c r="G22" s="6">
        <f t="shared" si="0"/>
        <v>2</v>
      </c>
    </row>
    <row r="23" spans="5:7" ht="15.6" x14ac:dyDescent="0.3">
      <c r="E23" s="9">
        <v>45623</v>
      </c>
      <c r="F23" s="9">
        <v>45625</v>
      </c>
      <c r="G23" s="6">
        <f t="shared" si="0"/>
        <v>2</v>
      </c>
    </row>
    <row r="24" spans="5:7" ht="15.6" x14ac:dyDescent="0.3">
      <c r="E24" s="9">
        <v>45624</v>
      </c>
      <c r="F24" s="9">
        <v>45626</v>
      </c>
      <c r="G24" s="6">
        <f t="shared" si="0"/>
        <v>2</v>
      </c>
    </row>
    <row r="25" spans="5:7" ht="15.6" x14ac:dyDescent="0.3">
      <c r="E25" s="9">
        <v>45625</v>
      </c>
      <c r="F25" s="9">
        <v>45627</v>
      </c>
      <c r="G25" s="6">
        <f t="shared" si="0"/>
        <v>2</v>
      </c>
    </row>
    <row r="26" spans="5:7" ht="15.6" x14ac:dyDescent="0.3">
      <c r="E26" s="9">
        <v>45626</v>
      </c>
      <c r="F26" s="9">
        <v>45628</v>
      </c>
      <c r="G26" s="6">
        <f t="shared" si="0"/>
        <v>2</v>
      </c>
    </row>
  </sheetData>
  <mergeCells count="3"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Sheet5</vt:lpstr>
      <vt:lpstr>Sheet6</vt:lpstr>
      <vt:lpstr>Sheet7</vt:lpstr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s</dc:creator>
  <cp:keywords/>
  <dc:description/>
  <cp:lastModifiedBy>s s</cp:lastModifiedBy>
  <cp:revision/>
  <dcterms:created xsi:type="dcterms:W3CDTF">2024-03-15T05:04:01Z</dcterms:created>
  <dcterms:modified xsi:type="dcterms:W3CDTF">2025-04-08T03:47:40Z</dcterms:modified>
  <cp:category/>
  <cp:contentStatus/>
</cp:coreProperties>
</file>